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Entries" sheetId="2" state="visible" r:id="rId4"/>
    <sheet name="Pairs" sheetId="3" state="visible" r:id="rId5"/>
    <sheet name="Balance" sheetId="4" state="visible" r:id="rId6"/>
    <sheet name="Guidelines" sheetId="5" state="visible" r:id="rId7"/>
  </sheets>
  <definedNames>
    <definedName function="false" hidden="true" localSheetId="1" name="_xlnm._FilterDatabase" vbProcedure="false">Entries!$A$1:$I$101</definedName>
    <definedName function="false" hidden="true" localSheetId="2" name="_xlnm._FilterDatabase" vbProcedure="false">Pairs!$A$1:$H$126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<sst xmlns="http://schemas.openxmlformats.org/spreadsheetml/2006/main" count="1869" uniqueCount="745">
  <si>
    <t xml:space="preserve">Synthetic journal dataset for emotion-cause pair extraction (ECPE)</t>
  </si>
  <si>
    <t xml:space="preserve">What this is</t>
  </si>
  <si>
    <t xml:space="preserve">100 synthetic journal-style entries (IDs S001 to S100) with draft labels, written by an LLM (Claude) in your two-sheet format.</t>
  </si>
  <si>
    <t xml:space="preserve">Use it for training and development. Do NOT use it as your final test set: LLM text is cleaner and more explicit than real journals, so scores on it will look inflated.</t>
  </si>
  <si>
    <t xml:space="preserve">Status of the labels</t>
  </si>
  <si>
    <t xml:space="preserve">All labels are LLM drafts (annotator = LLM-draft). A human must review them before they count as gold labels. Automatic checks already confirmed that every clause and entity is copied exactly from its entry and every label is from the fixed lists.</t>
  </si>
  <si>
    <t xml:space="preserve">Sheets</t>
  </si>
  <si>
    <t xml:space="preserve">Entries: one row per journal entry. Edit Text and the planned_ columns only before annotation starts. Columns G to I are formulas.</t>
  </si>
  <si>
    <t xml:space="preserve">Pairs: one row per emotion-cause pair. An entry with two pairs has two rows. The ner column is filled on the first row of each entry; later rows say same.</t>
  </si>
  <si>
    <t xml:space="preserve">Guidelines: the label lists and rules used to write these labels.</t>
  </si>
  <si>
    <t xml:space="preserve">Balance: live counts (formulas) of structures, emotions, aspects, lengths and entities against the plan. Blue numbers are the plan targets; change them if your plan changes.</t>
  </si>
  <si>
    <t xml:space="preserve">How to add your own human-written entries</t>
  </si>
  <si>
    <t xml:space="preserve">Add a row to Entries with a new ID (for example H001), Source = Human, and the whole entry in one cell. Add its pairs to Pairs using the same ID. The Balance sheet updates automatically (its ranges cover rows up to 500).</t>
  </si>
  <si>
    <t xml:space="preserve">ID</t>
  </si>
  <si>
    <t xml:space="preserve">Author</t>
  </si>
  <si>
    <t xml:space="preserve">Source</t>
  </si>
  <si>
    <t xml:space="preserve">Text</t>
  </si>
  <si>
    <t xml:space="preserve">planned_emotions</t>
  </si>
  <si>
    <t xml:space="preserve">planned_structure</t>
  </si>
  <si>
    <t xml:space="preserve">length_words</t>
  </si>
  <si>
    <t xml:space="preserve">length_bucket</t>
  </si>
  <si>
    <t xml:space="preserve">status</t>
  </si>
  <si>
    <t xml:space="preserve">S001</t>
  </si>
  <si>
    <t xml:space="preserve">Claude (LLM)</t>
  </si>
  <si>
    <t xml:space="preserve">Synthetic</t>
  </si>
  <si>
    <t xml:space="preserve">Got my DBMS internal marks today and I scored 42 out of 50. Honestly so happy right now, I did not think I would cross 35. Even the lab viva went better than expected, finally some luck.</t>
  </si>
  <si>
    <t xml:space="preserve">joy</t>
  </si>
  <si>
    <t xml:space="preserve">cause before emotion</t>
  </si>
  <si>
    <t xml:space="preserve">LLM-draft, needs human review</t>
  </si>
  <si>
    <t xml:space="preserve">S002</t>
  </si>
  <si>
    <t xml:space="preserve">My manager told us in the standup that the client loved our demo. Feeling really proud of the team, we worked on it for three weeks straight. Most of us skipped lunch on the last two days just to finish the slides. The meeting ran for almost an hour and the client asked for a second round next quarter. After the call we ordered pizza for the whole floor and the senior engineers stayed to go through the feedback line by line. I took notes on my laptop and then rewrote them in my diary at night because I did not trust myself to remember everything.</t>
  </si>
  <si>
    <t xml:space="preserve">pride</t>
  </si>
  <si>
    <t xml:space="preserve">S003</t>
  </si>
  <si>
    <t xml:space="preserve">Missed the 8:15 local by like ten seconds and had to wait 25 mins for the next one. So annoyed, ruined my whole morning. The next train was packed and I stood near the door the whole way with my bag on my chest. I reached the office twenty minutes late and had to sign the register at the gate.</t>
  </si>
  <si>
    <t xml:space="preserve">anger</t>
  </si>
  <si>
    <t xml:space="preserve">S004</t>
  </si>
  <si>
    <t xml:space="preserve">Maa made my favourite rajma chawal after a really long week. I almost cried at the dinner table, so grateful for her. She does not say much but she always knows when I am tired. I helped her wash the dishes afterwards while she told me about the new shop near the temple. We watched half of a serial together and I fell asleep on the sofa with my head on a cushion. In the morning she had already packed a tiffin for me with extra pickle and two parathas for the bus.</t>
  </si>
  <si>
    <t xml:space="preserve">gratitude</t>
  </si>
  <si>
    <t xml:space="preserve">S005</t>
  </si>
  <si>
    <t xml:space="preserve">Group project presentation went terrible, Aman forgot his entire part and I had to improvise. I was furious but did not say anything in front of everyone. Later he said sorry in the hallway but I just nodded and walked away. The slides had been finalised the night before and we had even rehearsed twice in the library. In the Q&amp;A the panel asked about the second graph and I answered it while he stood there silently. After that we went to the canteen and split a plate of samosas without talking much. I took the long way back to the hostel.</t>
  </si>
  <si>
    <t xml:space="preserve">S006</t>
  </si>
  <si>
    <t xml:space="preserve">The assignment deadline is at 11 tonight and I have not even started the second question. So stressed right now. Tried to open the PDF three times and closed it each time, my brain just refuses.</t>
  </si>
  <si>
    <t xml:space="preserve">stress</t>
  </si>
  <si>
    <t xml:space="preserve">S007</t>
  </si>
  <si>
    <t xml:space="preserve">Neha texted me out of nowhere after like a year. I was so surprised to hear from her, we talked for almost two hours. She is studying in another city now and we caught up on college gossip, her new flat and the project she is working on.</t>
  </si>
  <si>
    <t xml:space="preserve">surprise</t>
  </si>
  <si>
    <t xml:space="preserve">S008</t>
  </si>
  <si>
    <t xml:space="preserve">Failed the driving test for the second time because I stalled on the slope. I feel like such a loser. The marking sheet showed the same mistake as last time. I drove home slowly and parked outside the building for ten minutes before going in.</t>
  </si>
  <si>
    <t xml:space="preserve">sadness</t>
  </si>
  <si>
    <t xml:space="preserve">S009</t>
  </si>
  <si>
    <t xml:space="preserve">Rohan borrowed my notes before the exam and gave them back with coffee stains all over. I am so stressed now, half the pages are unreadable and the test is tomorrow. He did not even say thanks, just dropped the notebook on my desk. I spent the next two hours in the library photocopying the same chapters from the shared drive printouts. The photocopy shop was crowded and the machine kept jamming, so I only got home at ten. I highlighted the main formulas in three colours and stuck them on the wall above my bed. Then I set two alarms and put my phone across the room.</t>
  </si>
  <si>
    <t xml:space="preserve">S010</t>
  </si>
  <si>
    <t xml:space="preserve">Dad called to say we are leaving for my cousin's wedding on Friday, for the whole week. Kind of dreading it, relatives will ask about placements again. I have a project review on Monday too and now I will have to skip it. The wedding hall is far from the city and we will be staying at a guest house for four nights. The bags are already by the door and the tickets are on my phone. I told the team that I would try to join the review online, but the signal there is usually bad. I packed my laptop and charger anyway, just in case.</t>
  </si>
  <si>
    <t xml:space="preserve">fear</t>
  </si>
  <si>
    <t xml:space="preserve">S011</t>
  </si>
  <si>
    <t xml:space="preserve">Our team won the inter-college quiz at COEP and I answered the last question. Proud of all of us, still smiling like an idiot. The final was between us and a team from the engineering college across the river, and it went down to a tiebreaker. We got a trophy and a voucher for a bookstore. We all took a group photo near the stage and then went for ice cream.</t>
  </si>
  <si>
    <t xml:space="preserve">S012</t>
  </si>
  <si>
    <t xml:space="preserve">My phone fell off the bed and the screen cracked right across. Ugh so frustrated, I got it repaired only in April. I took it to a repair shop near the station on the same evening and left it there for the night. They quoted three thousand rupees for the screen replacement, and I paid half in advance.</t>
  </si>
  <si>
    <t xml:space="preserve">S013</t>
  </si>
  <si>
    <t xml:space="preserve">Finished the whole 5k run without stopping for the first time ever. Felt really proud of myself, I could barely do one km when I started. My legs are jelly now but totally worth it.</t>
  </si>
  <si>
    <t xml:space="preserve">S014</t>
  </si>
  <si>
    <t xml:space="preserve">Our landlord increased the rent by 2000 without any notice. I am so stressed, we are already struggling. He said the society charges went up but he did not show any bill, just a message on whatsapp. He also asked us to pay in cash instead of transfer. We checked the agreement and nothing about maintenance charges was written there. My roommates and I made a spreadsheet of what we pay and what we get, which took the whole evening. We decided to talk to him together after dinner.</t>
  </si>
  <si>
    <t xml:space="preserve">S015</t>
  </si>
  <si>
    <t xml:space="preserve">My girlfriend and I finally got tickets for the concert in Mumbai after refreshing the page for an hour. I am so excited I cannot sit still! We are already planning which train to take and what to wear.</t>
  </si>
  <si>
    <t xml:space="preserve">S016</t>
  </si>
  <si>
    <t xml:space="preserve">Finished all my pending work by 6pm for once and made tea on the balcony. Feeling calm and content, this is all i want from a Sunday. The sky was orange and nobody was calling me for anything.</t>
  </si>
  <si>
    <t xml:space="preserve">contentment</t>
  </si>
  <si>
    <t xml:space="preserve">S017</t>
  </si>
  <si>
    <t xml:space="preserve">Cooked pasta for myself and watched an old show on the laptop. Nothing special but I feel peaceful, a good ordinry evening. I used the last of the cheese and some leftover garlic bread, and I washed the dishes right after eating. Then I read for a while and turned off the lights at ten.</t>
  </si>
  <si>
    <t xml:space="preserve">S018</t>
  </si>
  <si>
    <t xml:space="preserve">Prof. Mehta stayed back for an extra hour to explain the proofs to us. Really thankful, nobdy has to do that. Half the class had given up on that chapter and now it actually makes sense to me.</t>
  </si>
  <si>
    <t xml:space="preserve">S019</t>
  </si>
  <si>
    <t xml:space="preserve">Riya covered my share of the bill when my card got declined at the cafe. I am really grateful to have a friend like her. It was only forty rupees short but there was a line behind me. I transferred her the money that night and she replied with a thumbs up.</t>
  </si>
  <si>
    <t xml:space="preserve">S020</t>
  </si>
  <si>
    <t xml:space="preserve">My girlfriend moved to Bangalore today for her job, the city feels so empty already. I am really sad, we have been together for four years. I walked home the long way so I would not have to sit in my room. I made a list of all the places we used to go to and then deleted it. At the bus stop an old man asked me for directions and I walked with him for five minutes to show the way. When I reached the hostel I ate dinner at the mess without really tasting anything. Later I watched two episodes of a show on my laptop and fell asleep with the earphones on.</t>
  </si>
  <si>
    <t xml:space="preserve">S021</t>
  </si>
  <si>
    <t xml:space="preserve">Our dog got sick again and the vet said it might be serious. I have been feeling so low since yesterday. He did not touch his food and just lay near the door all night.</t>
  </si>
  <si>
    <t xml:space="preserve">S022</t>
  </si>
  <si>
    <t xml:space="preserve">I forgot Mom's birthday wish till 9pm and she did not say anything. I feel so guilty, she always remembers mine at midnight. I called her at 9:15 and we spoke for about ten minutes about the cake and the relatives who visited. My phone had been on silent since the lab practical.</t>
  </si>
  <si>
    <t xml:space="preserve">guilt</t>
  </si>
  <si>
    <t xml:space="preserve">S023</t>
  </si>
  <si>
    <t xml:space="preserve">Opened the door and my cousin from Nagpur was standing there with a bag. Totally shocked, nobody told me she was coming. We ended up eating maggi at midnight and talking about everything. She had taken the overnight bus and slept at the back until it reached the city. I made her tea and gave her my bed, and I slept on the floor with a thin mattress. In the morning we walked to the market and she bought bangles and a pair of earrings for her friends back home. She left in the evening with a bag of snacks that I had stuffed in at the last minute.</t>
  </si>
  <si>
    <t xml:space="preserve">S024</t>
  </si>
  <si>
    <t xml:space="preserve">The doctor asked me to repeat the blood test next week because one value looked off. Honestly scared, I keep googling and it is making it worse. I have not told anyone at home yet.</t>
  </si>
  <si>
    <t xml:space="preserve">S025</t>
  </si>
  <si>
    <t xml:space="preserve">Three exams in four days and I have only finished one syllabus. Overwhelmed and cannot even think straight. I made a timetable but I already know I will not follow it. I have also started to skip meals to save time. The subjects are mostly theory and I keep losing my place in the textbook.</t>
  </si>
  <si>
    <t xml:space="preserve">S026</t>
  </si>
  <si>
    <t xml:space="preserve">I am so happy today because Mom finally agreed to let me go on the trip with Karan and Isha. I had been asking since January and she kept saying maybe, I cannot believe she said yes.</t>
  </si>
  <si>
    <t xml:space="preserve">cause after emotion</t>
  </si>
  <si>
    <t xml:space="preserve">S027</t>
  </si>
  <si>
    <t xml:space="preserve">Feeling really low because the placement results came out and my name is not on the list. I scrolled the list three times in case I had missed it. Then I closed the portal and went to the terrace for a walk.</t>
  </si>
  <si>
    <t xml:space="preserve">S028</t>
  </si>
  <si>
    <t xml:space="preserve">I am nervous about tomorrow since the interview is with the CTO himself. I have prepared my answers three times already and I still feel like I will blank out. Need to sleep early.</t>
  </si>
  <si>
    <t xml:space="preserve">S029</t>
  </si>
  <si>
    <t xml:space="preserve">Proud of myself today because I said no to my seniors for the first time and held my ground. I sat in the library for an hour afterwards to calm down, and nobody asked me anything. I made a note in my diary about how it went.</t>
  </si>
  <si>
    <t xml:space="preserve">S030</t>
  </si>
  <si>
    <t xml:space="preserve">Angry at Karan since he promised to pick me up and just never showed up, did not even call. I waited at the corner of the main road for forty minutes in the sun. In the end I took an auto and paid a hundred rupees.</t>
  </si>
  <si>
    <t xml:space="preserve">S031</t>
  </si>
  <si>
    <t xml:space="preserve">I feel so guilty because I snapped at my sister over something really small. It was about the TV remote and I raised my voice and walked out of the room. Later I made her a cup of tea and we watched the news together without talking.</t>
  </si>
  <si>
    <t xml:space="preserve">S032</t>
  </si>
  <si>
    <t xml:space="preserve">Grateful to Dev because he stayed up till 3am helping me fix my project code. We started at midnight with a bag of chips and a cold coffee each. The bug turned out to be a missing bracket in the last file.</t>
  </si>
  <si>
    <t xml:space="preserve">S033</t>
  </si>
  <si>
    <t xml:space="preserve">Feeling kind of content today because nothing went wrong and I got to read for an hour. I made rajma and rice for lunch and listened to old songs while washing the vessels. The sunlight in the room was warm.</t>
  </si>
  <si>
    <t xml:space="preserve">S034</t>
  </si>
  <si>
    <t xml:space="preserve">So stressed about money because my stipend from Infosys is delayed by a month now. I have to ask for money from home for the rent and I really hate doing that. Told myself it is only for two more weeks.</t>
  </si>
  <si>
    <t xml:space="preserve">S035</t>
  </si>
  <si>
    <t xml:space="preserve">I was really surprised because the professor actually remembered my name from the very first lecture. She said it in class when she was handing back the sheets and I almost dropped my pen. Most people in the batch have never even spoken to her.</t>
  </si>
  <si>
    <t xml:space="preserve">S036</t>
  </si>
  <si>
    <t xml:space="preserve">The metro was delayed by forty minutes and then it started pouring right outside the station. I reached office drenched and late, and my laptop bag was soaked at the bottom. The security guard made me sign the late register like I was in school. I sat at my desk with wet socks for an hour and could not focus on anything. At lunch the canteen had run out of everything except plain rice. Then there was a bug in production at 4 and I had to stay till 8 to fix it. Today was just one of those days where I wanted to scream into a pillow. When I finally got home I just lay on the bed in my office clothes and stared at the fan. I finally ate dinner at ten from a leftover packet of chips and a cup of instant noodles. I plugged in my phone, checked the meeting list and set an alarm for six. Then I scrolled through photos from the trip for a while and put the phone on the charger. The rain had stopped by then and the street outside was full of puddles reflecting the yellow lights. I could hear the neighbours' television through the wall and a pressure cooker whistling somewhere down the corridor.</t>
  </si>
  <si>
    <t xml:space="preserve">different sentences</t>
  </si>
  <si>
    <t xml:space="preserve">S037</t>
  </si>
  <si>
    <t xml:space="preserve">Dadi called in the evening and asked me to come home this weekend. She said she has made all my favourite things already, as if I had already agreed. I told her I have a lab report due on Monday and she went quiet for a second and then said it is okay, beta, study. I have not been home in almost six months. I really miss everyone there, even the noisy cousins and the pressure cooker whistle at 7am.</t>
  </si>
  <si>
    <t xml:space="preserve">S038</t>
  </si>
  <si>
    <t xml:space="preserve">We got the lab results back. Everyone in my group passed except me. I just sat in the corridor for a while, feeling numb and embarrassed. I did not reply to the group chat for the rest of the day. The sheet with marks was stuck on the notice board outside the lab and people were standing around it in small groups. I read my row twice to make sure it was not a mistake. Then I took the stairs instead of the lift and walked around the campus until the sun went down. My phone buzzed a few times but I left it face down on the bench.</t>
  </si>
  <si>
    <t xml:space="preserve">S039</t>
  </si>
  <si>
    <t xml:space="preserve">My roommate left the gas on again. Luckily nothing happened but I smelled it as soon as I opened the door. My heart was racing for ten minutes afterwards. I opened every window and sat on the stairs till my hands stopped shaking. The cylinder was not even half full, so the stove had probably been leaking for a while. I called the maintenance number from the notice board and a person came after forty minutes and replaced the pipe. We both signed a form saying that it was checked and safe. Dinner was late and we ate maggi on the floor of the balcony with the door open.</t>
  </si>
  <si>
    <t xml:space="preserve">S040</t>
  </si>
  <si>
    <t xml:space="preserve">Spent the whole Saturday cleaning my room and sorting old notes. Found my school diary in the cupboard, behind two broken chargers, and read it twice. The handwriting is so bad and the plans I made at 14 are hilarious. There was a page where I wrote that I will become an astronaut by 25. I am smiling as I write this, such sweet memories.</t>
  </si>
  <si>
    <t xml:space="preserve">S041</t>
  </si>
  <si>
    <t xml:space="preserve">Ananya got selected for the exchange program. We have been preparing together since June, mock interviews and everything. I am really happy for her, she deserves it more than anyone.</t>
  </si>
  <si>
    <t xml:space="preserve">S042</t>
  </si>
  <si>
    <t xml:space="preserve">The professor announced a pop quiz in the last ten minutes of class. I had not revised anything from the last two chapters. Panicking inside the whole time, my pen would not stop shaking. After class I went through the notes of the last two chapters in the cafeteria and made a list of the questions that would probably come in the end semester. I then wrote the answers to the quiz again from memory to see how many I got right. It was nine out of fifteen. I decided to start the revision schedule right away and wrote it on a sticky note.</t>
  </si>
  <si>
    <t xml:space="preserve">S043</t>
  </si>
  <si>
    <t xml:space="preserve">Papa has been working night shifts since March and he looks so tired these days. He still calls me every morning and asks if I ate properly. Yesterday I heard him cough for a long time on the phone and he said it is nothing. I wish I could do something for him but I cannot even pay my own fees. I feel so helpless.</t>
  </si>
  <si>
    <t xml:space="preserve">S044</t>
  </si>
  <si>
    <t xml:space="preserve">Presented in front of 200 people at the fest and nobody laughed at my jokes. I practised them for a week in front of the mirror. I am a little disappointed, I thought at least the front row would smile. The fest ended at nine and the next act was a band from another college. I helped carry the chairs back to the storeroom and counted the wires with the sound team. My throat was dry from talking into the mic for fifteen minutes, so I bought a lemon soda from the stall outside. I walked back to the hostel with my slides still open on the laptop.</t>
  </si>
  <si>
    <t xml:space="preserve">S045</t>
  </si>
  <si>
    <t xml:space="preserve">My boyfriend and I had a fight about the trip money. He said I always make things about myself, right in the middle of the cafe, and people were looking. I did not cry there but I held it in the whole way back. I have been so angry since then and I do not even want to message him. Part of me wants him to apologise first, the other part is too tired to wait.</t>
  </si>
  <si>
    <t xml:space="preserve">S046</t>
  </si>
  <si>
    <t xml:space="preserve">Joined the new gym near my place today. The trainer was really kind and showed me the machines slowly, without making me feel dumb. I feel quite relaxed about going now, not scared like before.</t>
  </si>
  <si>
    <t xml:space="preserve">S047</t>
  </si>
  <si>
    <t xml:space="preserve">Aunty from the next flat sent food for all of us. There was kheer too, I have not had it since I left home. Eyes literally teared up, I was so thankful.</t>
  </si>
  <si>
    <t xml:space="preserve">S048</t>
  </si>
  <si>
    <t xml:space="preserve">The paper turned out to be much easier than I expected. I walked out of the exam hall so surprised, finally some good news. Everyone else was complaining but I had actually revised the right units this time. I checked my answers once more during the last half hour and still had time to draw the diagram neatly. After the paper I met my group near the vending machine and compared the answers to the long questions. Two of us had written the same formula and one had written something completely different. We all had a plate of fried rice at the canteen and then went back to the hostel to sleep.</t>
  </si>
  <si>
    <t xml:space="preserve">S049</t>
  </si>
  <si>
    <t xml:space="preserve">Lost my wallet somewhere between the bus stop and the canteen. It had my ID card, my metro pass and some cash. I keep retracing my steps and I am just so anxious about the whole thing. I filed a complaint at the office but the clerk said it can take days. What if someone misuses the card? I have not been able to eat since lunch.</t>
  </si>
  <si>
    <t xml:space="preserve">S050</t>
  </si>
  <si>
    <t xml:space="preserve">Today I finally told Aman that his jokes about my accent hurt me. He apologised properly and even bought me chai. I feel lighter now, a lot lighter. I did not expect it to go this well.</t>
  </si>
  <si>
    <t xml:space="preserve">S051</t>
  </si>
  <si>
    <t xml:space="preserve">Couldn't sleep again last night. Kept staring at the ceiling till 4. Feeling so low today. I tried counting backwards, then listened to a podcast, then switched on the fan. Around five I went to the kitchen and drank a glass of water.</t>
  </si>
  <si>
    <t xml:space="preserve">implicit cause</t>
  </si>
  <si>
    <t xml:space="preserve">S052</t>
  </si>
  <si>
    <t xml:space="preserve">Just sitting in my room with the lights off. Do not even know why but I feel really lonely tonight. I have not opened my phone for an hour. The only sound is the fridge humming from the corridor.</t>
  </si>
  <si>
    <t xml:space="preserve">S053</t>
  </si>
  <si>
    <t xml:space="preserve">Something about this morning bugged me and I cannot even explain what. Been irritated at everyone since I woke up. Even the chai tasted wrong.</t>
  </si>
  <si>
    <t xml:space="preserve">S054</t>
  </si>
  <si>
    <t xml:space="preserve">Woke up with this weird heaviness in my chest today. Nothing happened, I just feel anxious for no reason. Tried deep breathing, helped a little.</t>
  </si>
  <si>
    <t xml:space="preserve">S055</t>
  </si>
  <si>
    <t xml:space="preserve">Walked to the college gate today. Felt really happy for no particular reason.</t>
  </si>
  <si>
    <t xml:space="preserve">S056</t>
  </si>
  <si>
    <t xml:space="preserve">Another day, same routine. I am just tired of everything lately, do not even want to open my laptop. I make tea, drink half of it, and leave the rest on the table. The same playlist has been on repeat since lunch.</t>
  </si>
  <si>
    <t xml:space="preserve">S057</t>
  </si>
  <si>
    <t xml:space="preserve">Kind of a quiet day. Did my usual stuff. I feel okay, nothing to complain about really. Had dal chawal for lunch and talked to a couple of people in the corridor. Watched one episode before sleeping.</t>
  </si>
  <si>
    <t xml:space="preserve">S058</t>
  </si>
  <si>
    <t xml:space="preserve">Can't stop smiling today and I do not know why. Even the bus conductor smiled back at me. I took the usual bus and sat by the window. The ticket cost ten rupees and I got back a one rupee coin as change.</t>
  </si>
  <si>
    <t xml:space="preserve">S059</t>
  </si>
  <si>
    <t xml:space="preserve">Missing home so much tonight, can't explain why. Called nobody, just lay there. The fan is on the second speed and the window is open. There is a faint smell of rain somewhere outside.</t>
  </si>
  <si>
    <t xml:space="preserve">S060</t>
  </si>
  <si>
    <t xml:space="preserve">Had a strange sinking feeling during lunch today that I forgot something important. I kept cheking my bag again n again.</t>
  </si>
  <si>
    <t xml:space="preserve">S061</t>
  </si>
  <si>
    <t xml:space="preserve">Felt really proud tonight for some reason. Look how far I have come.</t>
  </si>
  <si>
    <t xml:space="preserve">S062</t>
  </si>
  <si>
    <t xml:space="preserve">Randomly feeling grateful today. Nothing specific, just a good feeling about everything. Washed my clothes, made a list for the week and went for a short walk after dinner.</t>
  </si>
  <si>
    <t xml:space="preserve">S063</t>
  </si>
  <si>
    <t xml:space="preserve">Feel so guilty and I cannot even say about what. Maybe I should have called someone.</t>
  </si>
  <si>
    <t xml:space="preserve">S064</t>
  </si>
  <si>
    <t xml:space="preserve">Everything felt too loud today, the bus, the classroom, even my own thoughts. I just want to be left alone. I put on my headphones at lunch and took them off at four. Reached the hostel and sat on the stairs for a bit.</t>
  </si>
  <si>
    <t xml:space="preserve">S065</t>
  </si>
  <si>
    <t xml:space="preserve">Been so angry at everything since yesterday. Even my own breathing annoys me. Not sure what set it off.</t>
  </si>
  <si>
    <t xml:space="preserve">S066</t>
  </si>
  <si>
    <t xml:space="preserve">Got the offer letter from TCS today and I could not stop smiling. I refreshed my mail like ten times to make sure it was real, and then I just walked around the hostel corridor showing everyone my phone. I called home and Maa was crying on the other end, which made me tear up too. We were so loud that the warden knocked on the door. But then, around evening, I realised I have to move to Pune in a month, away from everyone I know. I have never lived in a new city alone. I have to find a flat, learn the local trains and make new friends, and my stomach dropped. The following days will be paperwork, the bank account and the medical test. I made a list on my notes app and it already has 14 items. I tried to be excited but all I could think about was the empty seat next to me in the mess. Still, I do not regret anything, I just wish time would go slow. I finally put my phone on charge and stared at the ceiling for a long time. The fan was making its usual clicking noise and the corridor lights were already off. I opened my notes app again and added three more items to the list.</t>
  </si>
  <si>
    <t xml:space="preserve">joy, fear</t>
  </si>
  <si>
    <t xml:space="preserve">two emotions, two causes</t>
  </si>
  <si>
    <t xml:space="preserve">S067</t>
  </si>
  <si>
    <t xml:space="preserve">Won the badminton match against the seniors and I am so proud of how I played. I did not drop a single serve in the last set. Sadly Isha hurt her ankle in the last game, I feel awful about it, she was limping all the way to the hostel and refused to go to the doctor. The match lasted nearly two hours because of the extra points at the end. The crowd was mostly first years who had come to watch the seniors lose. I drank two bottles of water and had to sit on the floor for ten minutes after the last point. Later in the hostel we put ice on the ankle and wrapped it with a crepe bandage that someone borrowed from another floor.</t>
  </si>
  <si>
    <t xml:space="preserve">pride, sadness</t>
  </si>
  <si>
    <t xml:space="preserve">S068</t>
  </si>
  <si>
    <t xml:space="preserve">Prof. Mehta returned the papers and I got an A in thermodynamics, so happy. I did a small dance in the corridor when nobody was watching. But Rutu failed again and she was crying in the washroom, I felt so bad for her. I sat with her till she calmed down. The marks were written in pencil first and then inked over, which made it feel final. I took a photo of the sheet and sent it to my group chat. Rutu's marks were just two short of passing, and she had been up for three nights. I bought two cups of chai from the stall and we sat on the steps outside the department for a long time.</t>
  </si>
  <si>
    <t xml:space="preserve">joy, sadness</t>
  </si>
  <si>
    <t xml:space="preserve">S069</t>
  </si>
  <si>
    <t xml:space="preserve">Spent the afternoon with Nani and she told me stories from her childhood, I felt so warm and content. She made me promise to visit every month. On the way back I got a call from the bank about my education loan EMI and instantly got stressed. I could not even enjoy the bus ride after that.</t>
  </si>
  <si>
    <t xml:space="preserve">contentment, stress</t>
  </si>
  <si>
    <t xml:space="preserve">S070</t>
  </si>
  <si>
    <t xml:space="preserve">My girlfriend lied to me about where she was last Friday and I found out through Instagram. I am so angry. At the same time I feel guilty for checking her profile in the first place. I do not know which one of us is more at fault.</t>
  </si>
  <si>
    <t xml:space="preserve">anger, guilt</t>
  </si>
  <si>
    <t xml:space="preserve">S071</t>
  </si>
  <si>
    <t xml:space="preserve">My sister is getting engaged in March and I am honestly thrilled for her. We have been planning the outfits on video call every night. But Mom keeps asking when I will settle down too, and it is making me anxious. I just changed the topic again. The date and the venue are fixed and the invitations are already printed. My sister has sent us photos of three lehengas and we voted on them in the family group chat. I am in charge of the music playlist and the welcome board, which I started designing on my laptop already.</t>
  </si>
  <si>
    <t xml:space="preserve">S072</t>
  </si>
  <si>
    <t xml:space="preserve">The canteen guy gave me extra rice without even asking, such a small thing but I was really grateful. Then I saw my CGPA on the portal and my mood just dropped, 6.4. I do not know how I will explain it at home.</t>
  </si>
  <si>
    <t xml:space="preserve">gratitude, sadness</t>
  </si>
  <si>
    <t xml:space="preserve">S073</t>
  </si>
  <si>
    <t xml:space="preserve">Finally cleared the backlog paper and I felt such a relief, I almost danced in the corridor. It was hanging over me for a full year, I could not even look at that subject without feeling sick. Dad called after that and asked why it took me so long, and I was annoyed that he could not just be happy for me. I know he means well but it would have been nice to hear well done even once. I did not say any of this, just said okay and hung up.</t>
  </si>
  <si>
    <t xml:space="preserve">joy, anger</t>
  </si>
  <si>
    <t xml:space="preserve">S074</t>
  </si>
  <si>
    <t xml:space="preserve">Kartik made fun of my accent in front of the whole class and I wanted to disappear right there. My face was burning and the professor pretended not to hear. Later Neha came and sat next to me and said she liked how I speak, it made my day. I almost cried but in a good way. Nobody in the class said anything for a few seconds and then the lecture just continued. During the break I took my bottle and went to the corridor to avoid the others. When I came back there was a note on my desk that said the next group discussion was moved to the library. I folded the note and kept it in my notebook.</t>
  </si>
  <si>
    <t xml:space="preserve">guilt, joy</t>
  </si>
  <si>
    <t xml:space="preserve">S075</t>
  </si>
  <si>
    <t xml:space="preserve">Skipped the gym again this week and I feel guilty about it. But then I made a proper healthy breakfast today and I feel really proud of that. I know it is a small win but I needed it.</t>
  </si>
  <si>
    <t xml:space="preserve">guilt, pride</t>
  </si>
  <si>
    <t xml:space="preserve">S076</t>
  </si>
  <si>
    <t xml:space="preserve">The electricity went out right before my online interview and I panicked so badly. I ran to the neighbour's flat with my laptop at 1% battery. The power came back in five minutes and the interviewer was kind about it, I felt so lucky. I had set up the lights and tested the camera twice that afternoon, so the power cut was really badly timed. I connected the laptop to my phone's hotspot and joined from the staircase because the signal was better there. The call went on for forty minutes and the questions were mostly about my project. After it ended, I sat on the stairs with my back against the wall for a while.</t>
  </si>
  <si>
    <t xml:space="preserve">fear, joy</t>
  </si>
  <si>
    <t xml:space="preserve">S077</t>
  </si>
  <si>
    <t xml:space="preserve">Mummy's surgery was today and the doctors said everything went well, I cried from relief. I had been sitting in the waiting area since 7 with Papa, and neither of us could eat anything. Every time the door opened my heart jumped. When the nurse finally came out and smiled, I just collapsed on the chair. Papa held my hand and did not say anything, he just kept nodding. I called my sister and she was screaming and crying at the same time on the phone. I am also so tired and stressed from running around the hospital since morning. There were forms to sign, medicines to buy from the other building and the billing counter was a mess. I have not eaten properly in two days and my feet are aching. But she is okay, that is what matters. I will sleep for a week after this. The hospital canteen ran out of tea by nine, so I had a packet of biscuits from the vending machine. Visiting hours ended at eight and we were allowed to stay only in the waiting area. A man at the next bench was reading a newspaper upside down and a child kept running up and down the corridor with a plastic bottle.</t>
  </si>
  <si>
    <t xml:space="preserve">joy, stress</t>
  </si>
  <si>
    <t xml:space="preserve">S078</t>
  </si>
  <si>
    <t xml:space="preserve">I scored the winning goal in the hostel football match, everyone was shouting my name and I felt on top of the world. Later I found out my knee was bleeding and honestly I was scared it was serious. The warden's first aid box was empty, of course.</t>
  </si>
  <si>
    <t xml:space="preserve">S079</t>
  </si>
  <si>
    <t xml:space="preserve">My landlord returned the full deposit without any deduction and I was so surprised. I had already written off half of it in my head. But the new flat is 3 km farther from college and I already hate the commute. Another hour on the bus every day.</t>
  </si>
  <si>
    <t xml:space="preserve">surprise, anger</t>
  </si>
  <si>
    <t xml:space="preserve">S080</t>
  </si>
  <si>
    <t xml:space="preserve">Anjali messaged to say she is leaving the project team, and I felt betrayed after all the late nights. Then Sir called me in and offered me the lead role, I was stunned. I walked out of his cabin not sure whether to laugh or panic.</t>
  </si>
  <si>
    <t xml:space="preserve">anger, surprise</t>
  </si>
  <si>
    <t xml:space="preserve">S081</t>
  </si>
  <si>
    <t xml:space="preserve">Went to the old school ground in Nashik and it brought back so many memories, I felt really happy. The same cracked bench, the same gulmohar tree. Then I saw my old teacher had passed away last year when I read the notice board near the gate, and I just sat there feeling sad. I never got to say thank you to her. I sat there for almost an hour before I realised it was getting dark.</t>
  </si>
  <si>
    <t xml:space="preserve">S082</t>
  </si>
  <si>
    <t xml:space="preserve">My girlfriend and I finally cleared the air after two weeks of not talking, I feel so relieved and happy. We sat on the terrace till late and talked more than we have in months. But I am worried it will happen again because we did not really talk about the root problem. I keep telling myself to not overthink.</t>
  </si>
  <si>
    <t xml:space="preserve">S083</t>
  </si>
  <si>
    <t xml:space="preserve">My professor praised my paper in front of the class and I felt proud and a bit shy. After class my labmate said I just got lucky, and it stung more than I want to admit. I know he did not mean it badly. Still it stayed with me till night. The paper was about graph algorithms and I had worked on it for almost the whole semester. In the lab afterwards two people asked me for the code and I shared the link. I made a cup of coffee and sat at my desk till late, rereading the review comments and the mistakes I had marked in red.</t>
  </si>
  <si>
    <t xml:space="preserve">S084</t>
  </si>
  <si>
    <t xml:space="preserve">Bought my first pair of running shoes with my own stipend and I feel so independent. I kept looking at the box on the way home. Then the hostel fees bill arrived and I am so stressed, the whole stipend is gone.</t>
  </si>
  <si>
    <t xml:space="preserve">pride, stress</t>
  </si>
  <si>
    <t xml:space="preserve">S085</t>
  </si>
  <si>
    <t xml:space="preserve">Rutu's dance performance at the fest was unreal and I clapped till my hands hurt, so proud of her. She had been practising for two months in the corridor. After that I could not find my phone anywhere and I was in a total panic. It was in my jacket pocket the whole time.</t>
  </si>
  <si>
    <t xml:space="preserve">pride, fear</t>
  </si>
  <si>
    <t xml:space="preserve">S086</t>
  </si>
  <si>
    <t xml:space="preserve">Saw my name on the interview shortlist for Infosys. So excited and nervous at the same time. The list is on the department board and I took a photo of it in case it gets removed. The interviews will be held in the seminar hall.</t>
  </si>
  <si>
    <t xml:space="preserve">one cause, two emotions</t>
  </si>
  <si>
    <t xml:space="preserve">S087</t>
  </si>
  <si>
    <t xml:space="preserve">My brother is leaving for the US next month for his masters. I am proud of him but I am going to miss him like crazy. We have never stayed apart for more than a week.</t>
  </si>
  <si>
    <t xml:space="preserve">S088</t>
  </si>
  <si>
    <t xml:space="preserve">Moved into the new hostel room today, with a balcony and everything. Excited about the new place but also kind of scared of living alone. The corridor is so quiet compared to my old floor.</t>
  </si>
  <si>
    <t xml:space="preserve">S089</t>
  </si>
  <si>
    <t xml:space="preserve">Dad finally came to watch my match and I could not believe it. I was happy and a little shocked, he never comes to anything. The match was against the other hostel and we lost on penalties. After it he stood near the fence for a while and then left on his bike.</t>
  </si>
  <si>
    <t xml:space="preserve">joy, surprise</t>
  </si>
  <si>
    <t xml:space="preserve">S090</t>
  </si>
  <si>
    <t xml:space="preserve">Had to give a surprise speech at Jai's farewell. I felt really nervous but also kind of proud when people clapped. My hands were cold the whole time. I had written two lines on a slip and ended up speaking for almost five minutes. Afterwards a few people came up to shake my hand.</t>
  </si>
  <si>
    <t xml:space="preserve">fear, pride</t>
  </si>
  <si>
    <t xml:space="preserve">S091</t>
  </si>
  <si>
    <t xml:space="preserve">Honestly feeling so grateful right now.</t>
  </si>
  <si>
    <t xml:space="preserve">emotion only</t>
  </si>
  <si>
    <t xml:space="preserve">S092</t>
  </si>
  <si>
    <t xml:space="preserve">So angry right now, cannot even type properly.</t>
  </si>
  <si>
    <t xml:space="preserve">S093</t>
  </si>
  <si>
    <t xml:space="preserve">Feeling a little anxious again today.</t>
  </si>
  <si>
    <t xml:space="preserve">S094</t>
  </si>
  <si>
    <t xml:space="preserve">Just feeling really proud of myself.</t>
  </si>
  <si>
    <t xml:space="preserve">S095</t>
  </si>
  <si>
    <t xml:space="preserve">Missing Nani so much, wish I could just call her.</t>
  </si>
  <si>
    <t xml:space="preserve">S096</t>
  </si>
  <si>
    <t xml:space="preserve">Had class from 9 to 1, then went to the library in Pune for two hours and came back by bus. Ate dal rice for dinner, finished one chapter of notes and slept at 11 lol. In the evening I talked to two friends in the corridor about the assignment.</t>
  </si>
  <si>
    <t xml:space="preserve">neutral</t>
  </si>
  <si>
    <t xml:space="preserve">no emotion</t>
  </si>
  <si>
    <t xml:space="preserve">S097</t>
  </si>
  <si>
    <t xml:space="preserve">Today I washed clothes, cleaned the desk, and updated my resume. Mom asked if I ate and I said yes. Then I watched two episodes of a show and slept. After that I charged my power bank and packed my bag.</t>
  </si>
  <si>
    <t xml:space="preserve">S098</t>
  </si>
  <si>
    <t xml:space="preserve">Attended the tech talk at COEP on cloud computing. Took notes on the slides and met two seniors after the session. The talk started at 3 and ended at 5, then we went to the canteen for tea.</t>
  </si>
  <si>
    <t xml:space="preserve">S099</t>
  </si>
  <si>
    <t xml:space="preserve">Bought vegetables from the market, paid the electricity bill online and called the plumber for Thursday. Also refilled the water filter and sorted the clothes that need ironing. It took almost two hours in total and I carried everything back in two heavy bags.</t>
  </si>
  <si>
    <t xml:space="preserve">S100</t>
  </si>
  <si>
    <t xml:space="preserve">Reached the station at 6, boarded the 6:40 train to Nagpur with Raj and reached by noon. Slept most of the way. Had a vada pav at the station and then took an auto home.</t>
  </si>
  <si>
    <t xml:space="preserve">entry_id</t>
  </si>
  <si>
    <t xml:space="preserve">emotion_clause</t>
  </si>
  <si>
    <t xml:space="preserve">emotion</t>
  </si>
  <si>
    <t xml:space="preserve">cause_clause</t>
  </si>
  <si>
    <t xml:space="preserve">cause</t>
  </si>
  <si>
    <t xml:space="preserve">ner</t>
  </si>
  <si>
    <t xml:space="preserve">aspect</t>
  </si>
  <si>
    <t xml:space="preserve">annotator</t>
  </si>
  <si>
    <t xml:space="preserve">Honestly so happy right now</t>
  </si>
  <si>
    <t xml:space="preserve">I scored 42 out of 50</t>
  </si>
  <si>
    <t xml:space="preserve">good internal marks</t>
  </si>
  <si>
    <t xml:space="preserve">today|DATE</t>
  </si>
  <si>
    <t xml:space="preserve">studies_work</t>
  </si>
  <si>
    <t xml:space="preserve">LLM-draft</t>
  </si>
  <si>
    <t xml:space="preserve">Feeling really proud of the team</t>
  </si>
  <si>
    <t xml:space="preserve">the client loved our demo</t>
  </si>
  <si>
    <t xml:space="preserve">client liked demo</t>
  </si>
  <si>
    <t xml:space="preserve">My manager|ROLE</t>
  </si>
  <si>
    <t xml:space="preserve">So annoyed</t>
  </si>
  <si>
    <t xml:space="preserve">Missed the 8:15 local by like ten seconds</t>
  </si>
  <si>
    <t xml:space="preserve">missed train</t>
  </si>
  <si>
    <t xml:space="preserve">none</t>
  </si>
  <si>
    <t xml:space="preserve">other</t>
  </si>
  <si>
    <t xml:space="preserve">so grateful for her</t>
  </si>
  <si>
    <t xml:space="preserve">Maa made my favourite rajma chawal after a really long week</t>
  </si>
  <si>
    <t xml:space="preserve">mother's cooking</t>
  </si>
  <si>
    <t xml:space="preserve">Maa|ROLE</t>
  </si>
  <si>
    <t xml:space="preserve">family</t>
  </si>
  <si>
    <t xml:space="preserve">I was furious</t>
  </si>
  <si>
    <t xml:space="preserve">Aman forgot his entire part</t>
  </si>
  <si>
    <t xml:space="preserve">teammate forgot part</t>
  </si>
  <si>
    <t xml:space="preserve">Aman|PERSON</t>
  </si>
  <si>
    <t xml:space="preserve">So stressed right now</t>
  </si>
  <si>
    <t xml:space="preserve">The assignment deadline is at 11 tonight and I have not even started the second question</t>
  </si>
  <si>
    <t xml:space="preserve">deadline</t>
  </si>
  <si>
    <t xml:space="preserve">tonight|DATE</t>
  </si>
  <si>
    <t xml:space="preserve">I was so surprised to hear from her</t>
  </si>
  <si>
    <t xml:space="preserve">Neha texted me out of nowhere after like a year</t>
  </si>
  <si>
    <t xml:space="preserve">old friend texted</t>
  </si>
  <si>
    <t xml:space="preserve">Neha|PERSON</t>
  </si>
  <si>
    <t xml:space="preserve">friends</t>
  </si>
  <si>
    <t xml:space="preserve">I feel like such a loser</t>
  </si>
  <si>
    <t xml:space="preserve">Failed the driving test for the second time because I stalled on the slope</t>
  </si>
  <si>
    <t xml:space="preserve">failed driving test</t>
  </si>
  <si>
    <t xml:space="preserve">self</t>
  </si>
  <si>
    <t xml:space="preserve">I am so stressed now</t>
  </si>
  <si>
    <t xml:space="preserve">Rohan borrowed my notes before the exam and gave them back with coffee stains all over</t>
  </si>
  <si>
    <t xml:space="preserve">notes damaged</t>
  </si>
  <si>
    <t xml:space="preserve">Rohan|PERSON; tomorrow|DATE</t>
  </si>
  <si>
    <t xml:space="preserve">Kind of dreading it</t>
  </si>
  <si>
    <t xml:space="preserve">Dad called to say we are leaving for my cousin's wedding on Friday, for the whole week</t>
  </si>
  <si>
    <t xml:space="preserve">wedding trip</t>
  </si>
  <si>
    <t xml:space="preserve">Dad|ROLE; my cousin|ROLE; Friday|DATE; Monday|DATE</t>
  </si>
  <si>
    <t xml:space="preserve">Proud of all of us</t>
  </si>
  <si>
    <t xml:space="preserve">Our team won the inter-college quiz at COEP and I answered the last question</t>
  </si>
  <si>
    <t xml:space="preserve">won quiz</t>
  </si>
  <si>
    <t xml:space="preserve">COEP|ORG</t>
  </si>
  <si>
    <t xml:space="preserve">Ugh so frustrated</t>
  </si>
  <si>
    <t xml:space="preserve">My phone fell off the bed and the screen cracked right across</t>
  </si>
  <si>
    <t xml:space="preserve">cracked phone</t>
  </si>
  <si>
    <t xml:space="preserve">April|DATE</t>
  </si>
  <si>
    <t xml:space="preserve">Felt really proud of myself</t>
  </si>
  <si>
    <t xml:space="preserve">Finished the whole 5k run without stopping for the first time ever</t>
  </si>
  <si>
    <t xml:space="preserve">finished 5k</t>
  </si>
  <si>
    <t xml:space="preserve">health</t>
  </si>
  <si>
    <t xml:space="preserve">I am so stressed</t>
  </si>
  <si>
    <t xml:space="preserve">Our landlord increased the rent by 2000 without any notice</t>
  </si>
  <si>
    <t xml:space="preserve">rent hike</t>
  </si>
  <si>
    <t xml:space="preserve">Our landlord|ROLE</t>
  </si>
  <si>
    <t xml:space="preserve">money</t>
  </si>
  <si>
    <t xml:space="preserve">I am so excited I cannot sit still</t>
  </si>
  <si>
    <t xml:space="preserve">My girlfriend and I finally got tickets for the concert in Mumbai after refreshing the page for an hour</t>
  </si>
  <si>
    <t xml:space="preserve">concert tickets</t>
  </si>
  <si>
    <t xml:space="preserve">My girlfriend|ROLE; Mumbai|LOCATION</t>
  </si>
  <si>
    <t xml:space="preserve">relationships</t>
  </si>
  <si>
    <t xml:space="preserve">Feeling calm and content</t>
  </si>
  <si>
    <t xml:space="preserve">Finished all my pending work by 6pm for once and made tea on the balcony</t>
  </si>
  <si>
    <t xml:space="preserve">finished work early</t>
  </si>
  <si>
    <t xml:space="preserve">Sunday|DATE</t>
  </si>
  <si>
    <t xml:space="preserve">I feel peaceful</t>
  </si>
  <si>
    <t xml:space="preserve">Cooked pasta for myself and watched an old show on the laptop</t>
  </si>
  <si>
    <t xml:space="preserve">quiet evening</t>
  </si>
  <si>
    <t xml:space="preserve">Really thankful</t>
  </si>
  <si>
    <t xml:space="preserve">Prof. Mehta stayed back for an extra hour to explain the proofs to us</t>
  </si>
  <si>
    <t xml:space="preserve">teacher stayed back</t>
  </si>
  <si>
    <t xml:space="preserve">Prof. Mehta|PERSON</t>
  </si>
  <si>
    <t xml:space="preserve">I am really grateful to have a friend like her</t>
  </si>
  <si>
    <t xml:space="preserve">Riya covered my share of the bill when my card got declined at the cafe</t>
  </si>
  <si>
    <t xml:space="preserve">friend paid bill</t>
  </si>
  <si>
    <t xml:space="preserve">Riya|PERSON</t>
  </si>
  <si>
    <t xml:space="preserve">I am really sad</t>
  </si>
  <si>
    <t xml:space="preserve">My girlfriend moved to Bangalore today for her job, the city feels so empty already</t>
  </si>
  <si>
    <t xml:space="preserve">partner moved away</t>
  </si>
  <si>
    <t xml:space="preserve">My girlfriend|ROLE; Bangalore|LOCATION; today|DATE</t>
  </si>
  <si>
    <t xml:space="preserve">I have been feeling so low since yesterday</t>
  </si>
  <si>
    <t xml:space="preserve">Our dog got sick again and the vet said it might be serious</t>
  </si>
  <si>
    <t xml:space="preserve">dog sick</t>
  </si>
  <si>
    <t xml:space="preserve">the vet|ROLE; yesterday|DATE</t>
  </si>
  <si>
    <t xml:space="preserve">I feel so guilty</t>
  </si>
  <si>
    <t xml:space="preserve">I forgot Mom's birthday wish till 9pm and she did not say anything</t>
  </si>
  <si>
    <t xml:space="preserve">forgot mom's birthday</t>
  </si>
  <si>
    <t xml:space="preserve">Mom|ROLE</t>
  </si>
  <si>
    <t xml:space="preserve">Totally shocked</t>
  </si>
  <si>
    <t xml:space="preserve">Opened the door and my cousin from Nagpur was standing there with a bag</t>
  </si>
  <si>
    <t xml:space="preserve">cousin showed up</t>
  </si>
  <si>
    <t xml:space="preserve">my cousin|ROLE; Nagpur|LOCATION</t>
  </si>
  <si>
    <t xml:space="preserve">Honestly scared</t>
  </si>
  <si>
    <t xml:space="preserve">The doctor asked me to repeat the blood test next week because one value looked off</t>
  </si>
  <si>
    <t xml:space="preserve">repeat blood test</t>
  </si>
  <si>
    <t xml:space="preserve">The doctor|ROLE; next week|DATE</t>
  </si>
  <si>
    <t xml:space="preserve">Overwhelmed and cannot even think straight</t>
  </si>
  <si>
    <t xml:space="preserve">Three exams in four days and I have only finished one syllabus</t>
  </si>
  <si>
    <t xml:space="preserve">exam pile-up</t>
  </si>
  <si>
    <t xml:space="preserve">I am so happy today</t>
  </si>
  <si>
    <t xml:space="preserve">Mom finally agreed to let me go on the trip with Karan and Isha</t>
  </si>
  <si>
    <t xml:space="preserve">mom allowed trip</t>
  </si>
  <si>
    <t xml:space="preserve">today|DATE; Mom|ROLE; Karan|PERSON; Isha|PERSON; January|DATE</t>
  </si>
  <si>
    <t xml:space="preserve">Feeling really low</t>
  </si>
  <si>
    <t xml:space="preserve">the placement results came out and my name is not on the list</t>
  </si>
  <si>
    <t xml:space="preserve">not placed</t>
  </si>
  <si>
    <t xml:space="preserve">I am nervous about tomorrow</t>
  </si>
  <si>
    <t xml:space="preserve">the interview is with the CTO himself</t>
  </si>
  <si>
    <t xml:space="preserve">interview with CTO</t>
  </si>
  <si>
    <t xml:space="preserve">tomorrow|DATE; the CTO|ROLE</t>
  </si>
  <si>
    <t xml:space="preserve">Proud of myself today</t>
  </si>
  <si>
    <t xml:space="preserve">I said no to my seniors for the first time and held my ground</t>
  </si>
  <si>
    <t xml:space="preserve">said no</t>
  </si>
  <si>
    <t xml:space="preserve">Angry at Karan</t>
  </si>
  <si>
    <t xml:space="preserve">he promised to pick me up and just never showed up</t>
  </si>
  <si>
    <t xml:space="preserve">friend no-show</t>
  </si>
  <si>
    <t xml:space="preserve">Karan|PERSON</t>
  </si>
  <si>
    <t xml:space="preserve">I snapped at my sister over something really small</t>
  </si>
  <si>
    <t xml:space="preserve">snapped at sister</t>
  </si>
  <si>
    <t xml:space="preserve">my sister|ROLE</t>
  </si>
  <si>
    <t xml:space="preserve">Grateful to Dev</t>
  </si>
  <si>
    <t xml:space="preserve">he stayed up till 3am helping me fix my project code</t>
  </si>
  <si>
    <t xml:space="preserve">friend helped</t>
  </si>
  <si>
    <t xml:space="preserve">Dev|PERSON</t>
  </si>
  <si>
    <t xml:space="preserve">Feeling kind of content today</t>
  </si>
  <si>
    <t xml:space="preserve">nothing went wrong and I got to read for an hour</t>
  </si>
  <si>
    <t xml:space="preserve">peaceful day</t>
  </si>
  <si>
    <t xml:space="preserve">So stressed about money</t>
  </si>
  <si>
    <t xml:space="preserve">my stipend from Infosys is delayed by a month now</t>
  </si>
  <si>
    <t xml:space="preserve">stipend delayed</t>
  </si>
  <si>
    <t xml:space="preserve">Infosys|ORG</t>
  </si>
  <si>
    <t xml:space="preserve">I was really surprised</t>
  </si>
  <si>
    <t xml:space="preserve">the professor actually remembered my name from the very first lecture</t>
  </si>
  <si>
    <t xml:space="preserve">professor remembered me</t>
  </si>
  <si>
    <t xml:space="preserve">the professor|ROLE</t>
  </si>
  <si>
    <t xml:space="preserve">I wanted to scream into a pillow</t>
  </si>
  <si>
    <t xml:space="preserve">The metro was delayed by forty minutes and then it started pouring right outside the station</t>
  </si>
  <si>
    <t xml:space="preserve">bad commute</t>
  </si>
  <si>
    <t xml:space="preserve">The security guard|ROLE; Today|DATE</t>
  </si>
  <si>
    <t xml:space="preserve">I really miss everyone there</t>
  </si>
  <si>
    <t xml:space="preserve">I have not been home in almost six months</t>
  </si>
  <si>
    <t xml:space="preserve">away from home</t>
  </si>
  <si>
    <t xml:space="preserve">Dadi|ROLE; this weekend|DATE; Monday|DATE</t>
  </si>
  <si>
    <t xml:space="preserve">feeling numb and embarrassed</t>
  </si>
  <si>
    <t xml:space="preserve">Everyone in my group passed except me</t>
  </si>
  <si>
    <t xml:space="preserve">failed lab</t>
  </si>
  <si>
    <t xml:space="preserve">My heart was racing for ten minutes afterwards</t>
  </si>
  <si>
    <t xml:space="preserve">My roommate left the gas on again</t>
  </si>
  <si>
    <t xml:space="preserve">gas left on</t>
  </si>
  <si>
    <t xml:space="preserve">My roommate|ROLE</t>
  </si>
  <si>
    <t xml:space="preserve">I am smiling as I write this, such sweet memories</t>
  </si>
  <si>
    <t xml:space="preserve">Found my school diary in the cupboard, behind two broken chargers, and read it twice</t>
  </si>
  <si>
    <t xml:space="preserve">found old diary</t>
  </si>
  <si>
    <t xml:space="preserve">Saturday|DATE</t>
  </si>
  <si>
    <t xml:space="preserve">I am really happy for her</t>
  </si>
  <si>
    <t xml:space="preserve">Ananya got selected for the exchange program</t>
  </si>
  <si>
    <t xml:space="preserve">friend selected</t>
  </si>
  <si>
    <t xml:space="preserve">Ananya|PERSON; June|DATE</t>
  </si>
  <si>
    <t xml:space="preserve">Panicking inside the whole time</t>
  </si>
  <si>
    <t xml:space="preserve">I had not revised anything from the last two chapters</t>
  </si>
  <si>
    <t xml:space="preserve">unprepared for quiz</t>
  </si>
  <si>
    <t xml:space="preserve">The professor|ROLE</t>
  </si>
  <si>
    <t xml:space="preserve">I feel so helpless</t>
  </si>
  <si>
    <t xml:space="preserve">Papa has been working night shifts since March and he looks so tired these days</t>
  </si>
  <si>
    <t xml:space="preserve">father overworked</t>
  </si>
  <si>
    <t xml:space="preserve">Papa|ROLE; March|DATE; Yesterday|DATE</t>
  </si>
  <si>
    <t xml:space="preserve">I am a little disappointed</t>
  </si>
  <si>
    <t xml:space="preserve">nobody laughed at my jokes</t>
  </si>
  <si>
    <t xml:space="preserve">jokes fell flat</t>
  </si>
  <si>
    <t xml:space="preserve">I have been so angry since then</t>
  </si>
  <si>
    <t xml:space="preserve">He said I always make things about myself, right in the middle of the cafe</t>
  </si>
  <si>
    <t xml:space="preserve">partner's remark</t>
  </si>
  <si>
    <t xml:space="preserve">My boyfriend|ROLE</t>
  </si>
  <si>
    <t xml:space="preserve">I feel quite relaxed about going now</t>
  </si>
  <si>
    <t xml:space="preserve">The trainer was really kind and showed me the machines slowly, without making me feel dumb</t>
  </si>
  <si>
    <t xml:space="preserve">kind trainer</t>
  </si>
  <si>
    <t xml:space="preserve">today|DATE; The trainer|ROLE</t>
  </si>
  <si>
    <t xml:space="preserve">I was so thankful</t>
  </si>
  <si>
    <t xml:space="preserve">Aunty from the next flat sent food for all of us</t>
  </si>
  <si>
    <t xml:space="preserve">neighbour sent food</t>
  </si>
  <si>
    <t xml:space="preserve">Aunty|ROLE</t>
  </si>
  <si>
    <t xml:space="preserve">I walked out of the exam hall so surprised</t>
  </si>
  <si>
    <t xml:space="preserve">The paper turned out to be much easier than I expected</t>
  </si>
  <si>
    <t xml:space="preserve">easy paper</t>
  </si>
  <si>
    <t xml:space="preserve">I am just so anxious about the whole thing</t>
  </si>
  <si>
    <t xml:space="preserve">Lost my wallet somewhere between the bus stop and the canteen</t>
  </si>
  <si>
    <t xml:space="preserve">lost wallet</t>
  </si>
  <si>
    <t xml:space="preserve">the clerk|ROLE</t>
  </si>
  <si>
    <t xml:space="preserve">I feel lighter now</t>
  </si>
  <si>
    <t xml:space="preserve">He apologised properly and even bought me chai</t>
  </si>
  <si>
    <t xml:space="preserve">friend apologised</t>
  </si>
  <si>
    <t xml:space="preserve">Today|DATE; Aman|PERSON</t>
  </si>
  <si>
    <t xml:space="preserve">Feeling so low today</t>
  </si>
  <si>
    <t xml:space="preserve">implicit</t>
  </si>
  <si>
    <t xml:space="preserve">unknown</t>
  </si>
  <si>
    <t xml:space="preserve">last night|DATE; today|DATE</t>
  </si>
  <si>
    <t xml:space="preserve">I feel really lonely tonight</t>
  </si>
  <si>
    <t xml:space="preserve">Been irritated at everyone since I woke up</t>
  </si>
  <si>
    <t xml:space="preserve">this morning|DATE</t>
  </si>
  <si>
    <t xml:space="preserve">I just feel anxious for no reason</t>
  </si>
  <si>
    <t xml:space="preserve">Felt really happy for no particular reason</t>
  </si>
  <si>
    <t xml:space="preserve">I am just tired of everything lately</t>
  </si>
  <si>
    <t xml:space="preserve">I feel okay, nothing to complain about really</t>
  </si>
  <si>
    <t xml:space="preserve">Can't stop smiling today and I do not know why</t>
  </si>
  <si>
    <t xml:space="preserve">today|DATE; the bus conductor|ROLE</t>
  </si>
  <si>
    <t xml:space="preserve">Missing home so much tonight</t>
  </si>
  <si>
    <t xml:space="preserve">a strange sinking feeling during lunch today that I forgot something important</t>
  </si>
  <si>
    <t xml:space="preserve">Felt really proud tonight for some reason</t>
  </si>
  <si>
    <t xml:space="preserve">Randomly feeling grateful today</t>
  </si>
  <si>
    <t xml:space="preserve">Feel so guilty and I cannot even say about what</t>
  </si>
  <si>
    <t xml:space="preserve">Everything felt too loud today</t>
  </si>
  <si>
    <t xml:space="preserve">Been so angry at everything since yesterday</t>
  </si>
  <si>
    <t xml:space="preserve">yesterday|DATE</t>
  </si>
  <si>
    <t xml:space="preserve">I could not stop smiling</t>
  </si>
  <si>
    <t xml:space="preserve">Got the offer letter from TCS today</t>
  </si>
  <si>
    <t xml:space="preserve">job offer</t>
  </si>
  <si>
    <t xml:space="preserve">TCS|ORG; today|DATE; Maa|ROLE; the warden|ROLE; Pune|LOCATION</t>
  </si>
  <si>
    <t xml:space="preserve">my stomach dropped</t>
  </si>
  <si>
    <t xml:space="preserve">I have to move to Pune in a month, away from everyone I know</t>
  </si>
  <si>
    <t xml:space="preserve">moving away</t>
  </si>
  <si>
    <t xml:space="preserve">same</t>
  </si>
  <si>
    <t xml:space="preserve">I am so proud of how I played</t>
  </si>
  <si>
    <t xml:space="preserve">Won the badminton match against the seniors</t>
  </si>
  <si>
    <t xml:space="preserve">won match</t>
  </si>
  <si>
    <t xml:space="preserve">Isha|PERSON; the doctor|ROLE</t>
  </si>
  <si>
    <t xml:space="preserve">I feel awful about it</t>
  </si>
  <si>
    <t xml:space="preserve">Isha hurt her ankle in the last game</t>
  </si>
  <si>
    <t xml:space="preserve">friend injured</t>
  </si>
  <si>
    <t xml:space="preserve">so happy</t>
  </si>
  <si>
    <t xml:space="preserve">I got an A in thermodynamics</t>
  </si>
  <si>
    <t xml:space="preserve">got an A</t>
  </si>
  <si>
    <t xml:space="preserve">Prof. Mehta|PERSON; Rutu|PERSON</t>
  </si>
  <si>
    <t xml:space="preserve">I felt so bad for her</t>
  </si>
  <si>
    <t xml:space="preserve">Rutu failed again and she was crying in the washroom</t>
  </si>
  <si>
    <t xml:space="preserve">friend failed</t>
  </si>
  <si>
    <t xml:space="preserve">I felt so warm and content</t>
  </si>
  <si>
    <t xml:space="preserve">Spent the afternoon with Nani and she told me stories from her childhood</t>
  </si>
  <si>
    <t xml:space="preserve">time with grandmother</t>
  </si>
  <si>
    <t xml:space="preserve">Nani|ROLE</t>
  </si>
  <si>
    <t xml:space="preserve">instantly got stressed</t>
  </si>
  <si>
    <t xml:space="preserve">I got a call from the bank about my education loan EMI</t>
  </si>
  <si>
    <t xml:space="preserve">loan EMI call</t>
  </si>
  <si>
    <t xml:space="preserve">I am so angry</t>
  </si>
  <si>
    <t xml:space="preserve">My girlfriend lied to me about where she was last Friday and I found out through Instagram</t>
  </si>
  <si>
    <t xml:space="preserve">partner lied</t>
  </si>
  <si>
    <t xml:space="preserve">My girlfriend|ROLE; last Friday|DATE</t>
  </si>
  <si>
    <t xml:space="preserve">I feel guilty</t>
  </si>
  <si>
    <t xml:space="preserve">checking her profile in the first place</t>
  </si>
  <si>
    <t xml:space="preserve">checked her profile</t>
  </si>
  <si>
    <t xml:space="preserve">I am honestly thrilled for her</t>
  </si>
  <si>
    <t xml:space="preserve">My sister is getting engaged in March</t>
  </si>
  <si>
    <t xml:space="preserve">sister's engagement</t>
  </si>
  <si>
    <t xml:space="preserve">My sister|ROLE; March|DATE; Mom|ROLE</t>
  </si>
  <si>
    <t xml:space="preserve">it is making me anxious</t>
  </si>
  <si>
    <t xml:space="preserve">Mom keeps asking when I will settle down too</t>
  </si>
  <si>
    <t xml:space="preserve">pressure to settle</t>
  </si>
  <si>
    <t xml:space="preserve">I was really grateful</t>
  </si>
  <si>
    <t xml:space="preserve">The canteen guy gave me extra rice without even asking</t>
  </si>
  <si>
    <t xml:space="preserve">canteen kindness</t>
  </si>
  <si>
    <t xml:space="preserve">The canteen guy|ROLE</t>
  </si>
  <si>
    <t xml:space="preserve">my mood just dropped</t>
  </si>
  <si>
    <t xml:space="preserve">I saw my CGPA on the portal</t>
  </si>
  <si>
    <t xml:space="preserve">low CGPA</t>
  </si>
  <si>
    <t xml:space="preserve">I felt such a relief, I almost danced in the corridor</t>
  </si>
  <si>
    <t xml:space="preserve">Finally cleared the backlog paper</t>
  </si>
  <si>
    <t xml:space="preserve">cleared backlog</t>
  </si>
  <si>
    <t xml:space="preserve">Dad|ROLE</t>
  </si>
  <si>
    <t xml:space="preserve">I was annoyed that he could not just be happy for me</t>
  </si>
  <si>
    <t xml:space="preserve">Dad called after that and asked why it took me so long</t>
  </si>
  <si>
    <t xml:space="preserve">dad's reaction</t>
  </si>
  <si>
    <t xml:space="preserve">I wanted to disappear right there</t>
  </si>
  <si>
    <t xml:space="preserve">Kartik made fun of my accent in front of the whole class</t>
  </si>
  <si>
    <t xml:space="preserve">mocked accent</t>
  </si>
  <si>
    <t xml:space="preserve">Kartik|PERSON; the professor|ROLE; Neha|PERSON</t>
  </si>
  <si>
    <t xml:space="preserve">it made my day</t>
  </si>
  <si>
    <t xml:space="preserve">Neha came and sat next to me and said she liked how I speak</t>
  </si>
  <si>
    <t xml:space="preserve">friend's kindness</t>
  </si>
  <si>
    <t xml:space="preserve">I feel guilty about it</t>
  </si>
  <si>
    <t xml:space="preserve">Skipped the gym again this week</t>
  </si>
  <si>
    <t xml:space="preserve">skipped gym</t>
  </si>
  <si>
    <t xml:space="preserve">this week|DATE; today|DATE</t>
  </si>
  <si>
    <t xml:space="preserve">I feel really proud of that</t>
  </si>
  <si>
    <t xml:space="preserve">I made a proper healthy breakfast today</t>
  </si>
  <si>
    <t xml:space="preserve">healthy breakfast</t>
  </si>
  <si>
    <t xml:space="preserve">I panicked so badly</t>
  </si>
  <si>
    <t xml:space="preserve">The electricity went out right before my online interview</t>
  </si>
  <si>
    <t xml:space="preserve">power cut</t>
  </si>
  <si>
    <t xml:space="preserve">the interviewer|ROLE</t>
  </si>
  <si>
    <t xml:space="preserve">I felt so lucky</t>
  </si>
  <si>
    <t xml:space="preserve">the interviewer was kind about it</t>
  </si>
  <si>
    <t xml:space="preserve">kind interviewer</t>
  </si>
  <si>
    <t xml:space="preserve">I cried from relief</t>
  </si>
  <si>
    <t xml:space="preserve">the doctors said everything went well</t>
  </si>
  <si>
    <t xml:space="preserve">surgery went well</t>
  </si>
  <si>
    <t xml:space="preserve">Mummy|ROLE; today|DATE; Papa|ROLE; the nurse|ROLE; my sister|ROLE</t>
  </si>
  <si>
    <t xml:space="preserve">so tired and stressed</t>
  </si>
  <si>
    <t xml:space="preserve">running around the hospital since morning</t>
  </si>
  <si>
    <t xml:space="preserve">hospital rush</t>
  </si>
  <si>
    <t xml:space="preserve">I felt on top of the world</t>
  </si>
  <si>
    <t xml:space="preserve">I scored the winning goal in the hostel football match</t>
  </si>
  <si>
    <t xml:space="preserve">winning goal</t>
  </si>
  <si>
    <t xml:space="preserve">The warden|ROLE</t>
  </si>
  <si>
    <t xml:space="preserve">I was scared it was serious</t>
  </si>
  <si>
    <t xml:space="preserve">my knee was bleeding</t>
  </si>
  <si>
    <t xml:space="preserve">bleeding knee</t>
  </si>
  <si>
    <t xml:space="preserve">I was so surprised</t>
  </si>
  <si>
    <t xml:space="preserve">My landlord returned the full deposit without any deduction</t>
  </si>
  <si>
    <t xml:space="preserve">full deposit returned</t>
  </si>
  <si>
    <t xml:space="preserve">My landlord|ROLE</t>
  </si>
  <si>
    <t xml:space="preserve">I already hate the commute</t>
  </si>
  <si>
    <t xml:space="preserve">the new flat is 3 km farther from college</t>
  </si>
  <si>
    <t xml:space="preserve">longer commute</t>
  </si>
  <si>
    <t xml:space="preserve">I felt betrayed</t>
  </si>
  <si>
    <t xml:space="preserve">Anjali messaged to say she is leaving the project team</t>
  </si>
  <si>
    <t xml:space="preserve">teammate leaving</t>
  </si>
  <si>
    <t xml:space="preserve">Anjali|PERSON; Sir|ROLE</t>
  </si>
  <si>
    <t xml:space="preserve">I was stunned</t>
  </si>
  <si>
    <t xml:space="preserve">Sir called me in and offered me the lead role</t>
  </si>
  <si>
    <t xml:space="preserve">offered lead role</t>
  </si>
  <si>
    <t xml:space="preserve">I felt really happy</t>
  </si>
  <si>
    <t xml:space="preserve">Went to the old school ground in Nashik and it brought back so many memories</t>
  </si>
  <si>
    <t xml:space="preserve">visited school</t>
  </si>
  <si>
    <t xml:space="preserve">Nashik|LOCATION; my old teacher|ROLE; last year|DATE</t>
  </si>
  <si>
    <t xml:space="preserve">I just sat there feeling sad</t>
  </si>
  <si>
    <t xml:space="preserve">I saw my old teacher had passed away last year when I read the notice board near the gate</t>
  </si>
  <si>
    <t xml:space="preserve">teacher passed away</t>
  </si>
  <si>
    <t xml:space="preserve">I feel so relieved and happy</t>
  </si>
  <si>
    <t xml:space="preserve">My girlfriend and I finally cleared the air after two weeks of not talking</t>
  </si>
  <si>
    <t xml:space="preserve">made up</t>
  </si>
  <si>
    <t xml:space="preserve">My girlfriend|ROLE</t>
  </si>
  <si>
    <t xml:space="preserve">I am worried it will happen again</t>
  </si>
  <si>
    <t xml:space="preserve">we did not really talk about the root problem</t>
  </si>
  <si>
    <t xml:space="preserve">unresolved issue</t>
  </si>
  <si>
    <t xml:space="preserve">I felt proud and a bit shy</t>
  </si>
  <si>
    <t xml:space="preserve">My professor praised my paper in front of the class</t>
  </si>
  <si>
    <t xml:space="preserve">paper praised</t>
  </si>
  <si>
    <t xml:space="preserve">My professor|ROLE; my labmate|ROLE</t>
  </si>
  <si>
    <t xml:space="preserve">it stung more than I want to admit</t>
  </si>
  <si>
    <t xml:space="preserve">my labmate said I just got lucky</t>
  </si>
  <si>
    <t xml:space="preserve">labmate's comment</t>
  </si>
  <si>
    <t xml:space="preserve">I feel so independent</t>
  </si>
  <si>
    <t xml:space="preserve">Bought my first pair of running shoes with my own stipend</t>
  </si>
  <si>
    <t xml:space="preserve">first purchase</t>
  </si>
  <si>
    <t xml:space="preserve">the hostel fees bill arrived</t>
  </si>
  <si>
    <t xml:space="preserve">fees bill</t>
  </si>
  <si>
    <t xml:space="preserve">so proud of her</t>
  </si>
  <si>
    <t xml:space="preserve">Rutu's dance performance at the fest was unreal</t>
  </si>
  <si>
    <t xml:space="preserve">friend's performance</t>
  </si>
  <si>
    <t xml:space="preserve">Rutu|PERSON</t>
  </si>
  <si>
    <t xml:space="preserve">I was in a total panic</t>
  </si>
  <si>
    <t xml:space="preserve">I could not find my phone anywhere</t>
  </si>
  <si>
    <t xml:space="preserve">lost phone</t>
  </si>
  <si>
    <t xml:space="preserve">So excited</t>
  </si>
  <si>
    <t xml:space="preserve">Saw my name on the interview shortlist for Infosys</t>
  </si>
  <si>
    <t xml:space="preserve">shortlisted</t>
  </si>
  <si>
    <t xml:space="preserve">nervous at the same time</t>
  </si>
  <si>
    <t xml:space="preserve">I am proud of him</t>
  </si>
  <si>
    <t xml:space="preserve">My brother is leaving for the US next month for his masters</t>
  </si>
  <si>
    <t xml:space="preserve">brother going abroad</t>
  </si>
  <si>
    <t xml:space="preserve">My brother|ROLE; US|LOCATION; next month|DATE</t>
  </si>
  <si>
    <t xml:space="preserve">I am going to miss him like crazy</t>
  </si>
  <si>
    <t xml:space="preserve">Excited about the new place</t>
  </si>
  <si>
    <t xml:space="preserve">Moved into the new hostel room today, with a balcony and everything</t>
  </si>
  <si>
    <t xml:space="preserve">new room</t>
  </si>
  <si>
    <t xml:space="preserve">kind of scared of living alone</t>
  </si>
  <si>
    <t xml:space="preserve">I was happy</t>
  </si>
  <si>
    <t xml:space="preserve">Dad finally came to watch my match</t>
  </si>
  <si>
    <t xml:space="preserve">dad came to match</t>
  </si>
  <si>
    <t xml:space="preserve">a little shocked</t>
  </si>
  <si>
    <t xml:space="preserve">I felt really nervous</t>
  </si>
  <si>
    <t xml:space="preserve">Had to give a surprise speech at Jai's farewell</t>
  </si>
  <si>
    <t xml:space="preserve">surprise speech</t>
  </si>
  <si>
    <t xml:space="preserve">Jai|PERSON</t>
  </si>
  <si>
    <t xml:space="preserve">kind of proud when people clapped</t>
  </si>
  <si>
    <t xml:space="preserve">Honestly feeling so grateful right now</t>
  </si>
  <si>
    <t xml:space="preserve">So angry right now</t>
  </si>
  <si>
    <t xml:space="preserve">Feeling a little anxious again today</t>
  </si>
  <si>
    <t xml:space="preserve">Just feeling really proud of myself</t>
  </si>
  <si>
    <t xml:space="preserve">Missing Nani so much</t>
  </si>
  <si>
    <t xml:space="preserve">Pune|LOCATION</t>
  </si>
  <si>
    <t xml:space="preserve">Today|DATE; Mom|ROLE</t>
  </si>
  <si>
    <t xml:space="preserve">the plumber|ROLE; Thursday|DATE</t>
  </si>
  <si>
    <t xml:space="preserve">Raj|PERSON; Nagpur|LOCATION</t>
  </si>
  <si>
    <t xml:space="preserve">Dataset balance (live formulas)</t>
  </si>
  <si>
    <t xml:space="preserve">Blue = plan targets you can edit. Black = formulas counting the Entries and Pairs sheets.</t>
  </si>
  <si>
    <t xml:space="preserve">Entry structure</t>
  </si>
  <si>
    <t xml:space="preserve">Target</t>
  </si>
  <si>
    <t xml:space="preserve">Actual</t>
  </si>
  <si>
    <t xml:space="preserve">Actual minus target</t>
  </si>
  <si>
    <t xml:space="preserve">Total entries</t>
  </si>
  <si>
    <t xml:space="preserve">Emotion (per pair row)</t>
  </si>
  <si>
    <t xml:space="preserve">Pair rows</t>
  </si>
  <si>
    <t xml:space="preserve">Share of rows</t>
  </si>
  <si>
    <t xml:space="preserve">Total pair rows</t>
  </si>
  <si>
    <t xml:space="preserve">Cause area (per pair row)</t>
  </si>
  <si>
    <t xml:space="preserve">Entry length</t>
  </si>
  <si>
    <t xml:space="preserve">short</t>
  </si>
  <si>
    <t xml:space="preserve">medium</t>
  </si>
  <si>
    <t xml:space="preserve">long</t>
  </si>
  <si>
    <t xml:space="preserve">very long</t>
  </si>
  <si>
    <t xml:space="preserve">Buckets: short under 40 words, medium 40 to 99, long 100 to 200, very long over 200</t>
  </si>
  <si>
    <t xml:space="preserve">Entities (NER)</t>
  </si>
  <si>
    <t xml:space="preserve">Entries with at least one entity</t>
  </si>
  <si>
    <t xml:space="preserve">Entries with a ROLE mention (Mom, my sister...)</t>
  </si>
  <si>
    <t xml:space="preserve">Entries with no entities</t>
  </si>
  <si>
    <t xml:space="preserve">Notes: targets are the plan agreed earlier (structure mix, length mix, 70 percent of entries with entities, 30 percent with role mentions). Emotion and cause-area shares have no fixed target; check they are not dominated by one value.</t>
  </si>
  <si>
    <t xml:space="preserve">Emotion labels (one label per emotion clause)</t>
  </si>
  <si>
    <t xml:space="preserve">label</t>
  </si>
  <si>
    <t xml:space="preserve">meaning</t>
  </si>
  <si>
    <t xml:space="preserve">example clause</t>
  </si>
  <si>
    <t xml:space="preserve">Happiness, excitement, being pleased</t>
  </si>
  <si>
    <t xml:space="preserve">Mild, calm satisfaction</t>
  </si>
  <si>
    <t xml:space="preserve">Pleased with own or others' achievement</t>
  </si>
  <si>
    <t xml:space="preserve">Thankful toward someone or something</t>
  </si>
  <si>
    <t xml:space="preserve">Sadness, disappointment, loneliness, helplessness</t>
  </si>
  <si>
    <t xml:space="preserve">Anger, frustration, irritation, betrayal</t>
  </si>
  <si>
    <t xml:space="preserve">Fear or anxiety about something specific or uncertain; panic</t>
  </si>
  <si>
    <t xml:space="preserve">General overload or pressure, not a specific threat</t>
  </si>
  <si>
    <t xml:space="preserve">Guilt, shame, embarrassment</t>
  </si>
  <si>
    <t xml:space="preserve">Surprised or shocked because something was unexpected</t>
  </si>
  <si>
    <t xml:space="preserve">No feeling stated; a plain log of the day</t>
  </si>
  <si>
    <t xml:space="preserve">(no emotion clause)</t>
  </si>
  <si>
    <t xml:space="preserve">Tie-breakers</t>
  </si>
  <si>
    <t xml:space="preserve">fear vs stress</t>
  </si>
  <si>
    <t xml:space="preserve">Fear points at a specific threat or uncertainty. Stress is general overload.</t>
  </si>
  <si>
    <t xml:space="preserve">joy vs contentment</t>
  </si>
  <si>
    <t xml:space="preserve">Joy is energetic. Contentment is calm.</t>
  </si>
  <si>
    <t xml:space="preserve">sadness vs guilt</t>
  </si>
  <si>
    <t xml:space="preserve">Guilt involves something the writer did wrong or felt embarrassed about.</t>
  </si>
  <si>
    <t xml:space="preserve">surprise vs distress</t>
  </si>
  <si>
    <t xml:space="preserve">If the clause is mainly about something unexpected, use surprise. If it is mainly about distress, use the negative emotion.</t>
  </si>
  <si>
    <t xml:space="preserve">shocked, astonished, taken aback</t>
  </si>
  <si>
    <t xml:space="preserve">All map to surprise. There is no separate shocked label.</t>
  </si>
  <si>
    <t xml:space="preserve">Cause area (aspect)</t>
  </si>
  <si>
    <t xml:space="preserve">College, exams, assignments, jobs, interviews, projects</t>
  </si>
  <si>
    <t xml:space="preserve">Fitness, sleep, illness, medical visits</t>
  </si>
  <si>
    <t xml:space="preserve">Parents, siblings, relatives, home</t>
  </si>
  <si>
    <t xml:space="preserve">Friends, roommates, neighbours, classmates</t>
  </si>
  <si>
    <t xml:space="preserve">Romantic partner</t>
  </si>
  <si>
    <t xml:space="preserve">Habits, identity, motivation, memories, personal milestones</t>
  </si>
  <si>
    <t xml:space="preserve">Rent, fees, stipend, bills, purchases</t>
  </si>
  <si>
    <t xml:space="preserve">Commute, lost items, everyday events that fit nothing above</t>
  </si>
  <si>
    <t xml:space="preserve">No cause stated, or cause is implicit</t>
  </si>
  <si>
    <t xml:space="preserve">Entity types (ner column, format text|TYPE separated by semicolons)</t>
  </si>
  <si>
    <t xml:space="preserve">PERSON</t>
  </si>
  <si>
    <t xml:space="preserve">Named people: Raj, Neha, Prof. Mehta</t>
  </si>
  <si>
    <t xml:space="preserve">ROLE</t>
  </si>
  <si>
    <t xml:space="preserve">A single person referred to by role or kinship: Mom, Dadi, My sister, my cousin, The doctor, Sir. Plural groups (my friends, relatives) are not tagged.</t>
  </si>
  <si>
    <t xml:space="preserve">LOCATION</t>
  </si>
  <si>
    <t xml:space="preserve">Named places only: Pune, Nagpur, US. Generic places (library, canteen, home, college) are not tagged.</t>
  </si>
  <si>
    <t xml:space="preserve">ORG</t>
  </si>
  <si>
    <t xml:space="preserve">Named organisations: TCS, Infosys, COEP. Generic words like college are not tagged.</t>
  </si>
  <si>
    <t xml:space="preserve">DATE</t>
  </si>
  <si>
    <t xml:space="preserve">Explicit time references: today, tonight, last night, this morning, Friday, March, next week. Bare words like morning or evening, and durations like two hours, are not tagged.</t>
  </si>
  <si>
    <t xml:space="preserve">Write none when the entry has no entities. Blank always means not yet annotated.</t>
  </si>
  <si>
    <t xml:space="preserve">Row conventions</t>
  </si>
  <si>
    <t xml:space="preserve">Copy exactly</t>
  </si>
  <si>
    <t xml:space="preserve">emotion_clause, cause_clause and entity text are copied exactly from the entry, including typos.</t>
  </si>
  <si>
    <t xml:space="preserve">Implicit cause</t>
  </si>
  <si>
    <t xml:space="preserve">cause_clause = implicit, cause = unknown, aspect = none.</t>
  </si>
  <si>
    <t xml:space="preserve">Emotion only</t>
  </si>
  <si>
    <t xml:space="preserve">cause_clause left empty, cause = none, aspect = none.</t>
  </si>
  <si>
    <t xml:space="preserve">No emotion</t>
  </si>
  <si>
    <t xml:space="preserve">emotion_clause left empty, emotion = neutral, cause_clause empty.</t>
  </si>
  <si>
    <t xml:space="preserve">ner column</t>
  </si>
  <si>
    <t xml:space="preserve">Filled on the first row of an entry. Later rows of the same entry say same.</t>
  </si>
  <si>
    <t xml:space="preserve">Shared cause</t>
  </si>
  <si>
    <t xml:space="preserve">When one cause triggers two emotions, both rows repeat the same cause_clause.</t>
  </si>
  <si>
    <t xml:space="preserve">Language</t>
  </si>
  <si>
    <t xml:space="preserve">English with a few Indian kinship terms (Maa, Dadi, Nani, Papa, Mummy, Aunty). Heavier code-mixing (Hinglish) is not included. Decide as a team whether to add it.</t>
  </si>
</sst>
</file>

<file path=xl/styles.xml><?xml version="1.0" encoding="utf-8"?>
<styleSheet xmlns="http://schemas.openxmlformats.org/spreadsheetml/2006/main">
  <numFmts count="2">
    <numFmt numFmtId="164" formatCode="General"/>
    <numFmt numFmtId="165" formatCode="0.0%"/>
  </numFmts>
  <fonts count="9">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0"/>
      <name val="Arial"/>
      <family val="0"/>
      <charset val="1"/>
    </font>
    <font>
      <b val="true"/>
      <sz val="10"/>
      <color rgb="FFFFFFFF"/>
      <name val="Arial"/>
      <family val="0"/>
      <charset val="1"/>
    </font>
    <font>
      <sz val="10"/>
      <color rgb="FF0000FF"/>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D9E2F3"/>
        <bgColor rgb="FFCC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7.35" hidden="false" customHeight="false" outlineLevel="0" collapsed="false">
      <c r="A1" s="1" t="s">
        <v>0</v>
      </c>
    </row>
    <row r="2" customFormat="false" ht="15" hidden="false" customHeight="false" outlineLevel="0" collapsed="false">
      <c r="A2" s="2"/>
    </row>
    <row r="3" customFormat="false" ht="15" hidden="false" customHeight="false" outlineLevel="0" collapsed="false">
      <c r="A3" s="3" t="s">
        <v>1</v>
      </c>
    </row>
    <row r="4" customFormat="false" ht="15" hidden="false" customHeight="false" outlineLevel="0" collapsed="false">
      <c r="A4" s="2" t="s">
        <v>2</v>
      </c>
    </row>
    <row r="5" customFormat="false" ht="23.85" hidden="false" customHeight="false" outlineLevel="0" collapsed="false">
      <c r="A5" s="2" t="s">
        <v>3</v>
      </c>
    </row>
    <row r="6" customFormat="false" ht="15" hidden="false" customHeight="false" outlineLevel="0" collapsed="false">
      <c r="A6" s="2"/>
    </row>
    <row r="7" customFormat="false" ht="15" hidden="false" customHeight="false" outlineLevel="0" collapsed="false">
      <c r="A7" s="3" t="s">
        <v>4</v>
      </c>
    </row>
    <row r="8" customFormat="false" ht="23.85" hidden="false" customHeight="false" outlineLevel="0" collapsed="false">
      <c r="A8" s="2" t="s">
        <v>5</v>
      </c>
    </row>
    <row r="9" customFormat="false" ht="15" hidden="false" customHeight="false" outlineLevel="0" collapsed="false">
      <c r="A9" s="2"/>
    </row>
    <row r="10" customFormat="false" ht="15" hidden="false" customHeight="false" outlineLevel="0" collapsed="false">
      <c r="A10" s="3" t="s">
        <v>6</v>
      </c>
    </row>
    <row r="11" customFormat="false" ht="15" hidden="false" customHeight="false" outlineLevel="0" collapsed="false">
      <c r="A11" s="2" t="s">
        <v>7</v>
      </c>
    </row>
    <row r="12" customFormat="false" ht="23.85" hidden="false" customHeight="false" outlineLevel="0" collapsed="false">
      <c r="A12" s="2" t="s">
        <v>8</v>
      </c>
    </row>
    <row r="13" customFormat="false" ht="15" hidden="false" customHeight="false" outlineLevel="0" collapsed="false">
      <c r="A13" s="2" t="s">
        <v>9</v>
      </c>
    </row>
    <row r="14" customFormat="false" ht="23.85" hidden="false" customHeight="false" outlineLevel="0" collapsed="false">
      <c r="A14" s="2" t="s">
        <v>10</v>
      </c>
    </row>
    <row r="15" customFormat="false" ht="15" hidden="false" customHeight="false" outlineLevel="0" collapsed="false">
      <c r="A15" s="2"/>
    </row>
    <row r="16" customFormat="false" ht="15" hidden="false" customHeight="false" outlineLevel="0" collapsed="false">
      <c r="A16" s="3" t="s">
        <v>11</v>
      </c>
    </row>
    <row r="17" customFormat="false" ht="23.85" hidden="false" customHeight="false" outlineLevel="0" collapsed="false">
      <c r="A17" s="2" t="s">
        <v>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4"/>
    <col collapsed="false" customWidth="true" hidden="false" outlineLevel="0" max="3" min="3" style="0" width="11"/>
    <col collapsed="false" customWidth="true" hidden="false" outlineLevel="0" max="4" min="4" style="0" width="90"/>
    <col collapsed="false" customWidth="true" hidden="false" outlineLevel="0" max="5" min="5" style="0" width="22"/>
    <col collapsed="false" customWidth="true" hidden="false" outlineLevel="0" max="6" min="6" style="0" width="26"/>
    <col collapsed="false" customWidth="true" hidden="false" outlineLevel="0" max="7" min="7" style="0" width="13"/>
    <col collapsed="false" customWidth="true" hidden="false" outlineLevel="0" max="8" min="8" style="0" width="14"/>
    <col collapsed="false" customWidth="true" hidden="false" outlineLevel="0" max="9" min="9" style="0" width="28"/>
  </cols>
  <sheetData>
    <row r="1" customFormat="false" ht="23.85" hidden="false" customHeight="false" outlineLevel="0" collapsed="false">
      <c r="A1" s="4" t="s">
        <v>13</v>
      </c>
      <c r="B1" s="4" t="s">
        <v>14</v>
      </c>
      <c r="C1" s="4" t="s">
        <v>15</v>
      </c>
      <c r="D1" s="4" t="s">
        <v>16</v>
      </c>
      <c r="E1" s="4" t="s">
        <v>17</v>
      </c>
      <c r="F1" s="4" t="s">
        <v>18</v>
      </c>
      <c r="G1" s="4" t="s">
        <v>19</v>
      </c>
      <c r="H1" s="4" t="s">
        <v>20</v>
      </c>
      <c r="I1" s="4" t="s">
        <v>21</v>
      </c>
    </row>
    <row r="2" customFormat="false" ht="23.85" hidden="false" customHeight="false" outlineLevel="0" collapsed="false">
      <c r="A2" s="5" t="s">
        <v>22</v>
      </c>
      <c r="B2" s="5" t="s">
        <v>23</v>
      </c>
      <c r="C2" s="5" t="s">
        <v>24</v>
      </c>
      <c r="D2" s="5" t="s">
        <v>25</v>
      </c>
      <c r="E2" s="5" t="s">
        <v>26</v>
      </c>
      <c r="F2" s="5" t="s">
        <v>27</v>
      </c>
      <c r="G2" s="5" t="n">
        <f aca="false">LEN(TRIM(D2))-LEN(SUBSTITUTE(TRIM(D2)," ",""))+1</f>
        <v>37</v>
      </c>
      <c r="H2" s="5" t="str">
        <f aca="false">IF(G2&lt;40,"short",IF(G2&lt;100,"medium",IF(G2&lt;=200,"long","very long")))</f>
        <v>short</v>
      </c>
      <c r="I2" s="5" t="s">
        <v>28</v>
      </c>
    </row>
    <row r="3" customFormat="false" ht="57.45" hidden="false" customHeight="false" outlineLevel="0" collapsed="false">
      <c r="A3" s="5" t="s">
        <v>29</v>
      </c>
      <c r="B3" s="5" t="s">
        <v>23</v>
      </c>
      <c r="C3" s="5" t="s">
        <v>24</v>
      </c>
      <c r="D3" s="5" t="s">
        <v>30</v>
      </c>
      <c r="E3" s="5" t="s">
        <v>31</v>
      </c>
      <c r="F3" s="5" t="s">
        <v>27</v>
      </c>
      <c r="G3" s="5" t="n">
        <f aca="false">LEN(TRIM(D3))-LEN(SUBSTITUTE(TRIM(D3)," ",""))+1</f>
        <v>106</v>
      </c>
      <c r="H3" s="5" t="str">
        <f aca="false">IF(G3&lt;40,"short",IF(G3&lt;100,"medium",IF(G3&lt;=200,"long","very long")))</f>
        <v>long</v>
      </c>
      <c r="I3" s="5" t="s">
        <v>28</v>
      </c>
    </row>
    <row r="4" customFormat="false" ht="35.05" hidden="false" customHeight="false" outlineLevel="0" collapsed="false">
      <c r="A4" s="5" t="s">
        <v>32</v>
      </c>
      <c r="B4" s="5" t="s">
        <v>23</v>
      </c>
      <c r="C4" s="5" t="s">
        <v>24</v>
      </c>
      <c r="D4" s="5" t="s">
        <v>33</v>
      </c>
      <c r="E4" s="5" t="s">
        <v>34</v>
      </c>
      <c r="F4" s="5" t="s">
        <v>27</v>
      </c>
      <c r="G4" s="5" t="n">
        <f aca="false">LEN(TRIM(D4))-LEN(SUBSTITUTE(TRIM(D4)," ",""))+1</f>
        <v>60</v>
      </c>
      <c r="H4" s="5" t="str">
        <f aca="false">IF(G4&lt;40,"short",IF(G4&lt;100,"medium",IF(G4&lt;=200,"long","very long")))</f>
        <v>medium</v>
      </c>
      <c r="I4" s="5" t="s">
        <v>28</v>
      </c>
    </row>
    <row r="5" customFormat="false" ht="57.45" hidden="false" customHeight="false" outlineLevel="0" collapsed="false">
      <c r="A5" s="5" t="s">
        <v>35</v>
      </c>
      <c r="B5" s="5" t="s">
        <v>23</v>
      </c>
      <c r="C5" s="5" t="s">
        <v>24</v>
      </c>
      <c r="D5" s="5" t="s">
        <v>36</v>
      </c>
      <c r="E5" s="5" t="s">
        <v>37</v>
      </c>
      <c r="F5" s="5" t="s">
        <v>27</v>
      </c>
      <c r="G5" s="5" t="n">
        <f aca="false">LEN(TRIM(D5))-LEN(SUBSTITUTE(TRIM(D5)," ",""))+1</f>
        <v>93</v>
      </c>
      <c r="H5" s="5" t="str">
        <f aca="false">IF(G5&lt;40,"short",IF(G5&lt;100,"medium",IF(G5&lt;=200,"long","very long")))</f>
        <v>medium</v>
      </c>
      <c r="I5" s="5" t="s">
        <v>28</v>
      </c>
    </row>
    <row r="6" customFormat="false" ht="57.45" hidden="false" customHeight="false" outlineLevel="0" collapsed="false">
      <c r="A6" s="5" t="s">
        <v>38</v>
      </c>
      <c r="B6" s="5" t="s">
        <v>23</v>
      </c>
      <c r="C6" s="5" t="s">
        <v>24</v>
      </c>
      <c r="D6" s="5" t="s">
        <v>39</v>
      </c>
      <c r="E6" s="5" t="s">
        <v>34</v>
      </c>
      <c r="F6" s="5" t="s">
        <v>27</v>
      </c>
      <c r="G6" s="5" t="n">
        <f aca="false">LEN(TRIM(D6))-LEN(SUBSTITUTE(TRIM(D6)," ",""))+1</f>
        <v>102</v>
      </c>
      <c r="H6" s="5" t="str">
        <f aca="false">IF(G6&lt;40,"short",IF(G6&lt;100,"medium",IF(G6&lt;=200,"long","very long")))</f>
        <v>long</v>
      </c>
      <c r="I6" s="5" t="s">
        <v>28</v>
      </c>
    </row>
    <row r="7" customFormat="false" ht="23.85" hidden="false" customHeight="false" outlineLevel="0" collapsed="false">
      <c r="A7" s="5" t="s">
        <v>40</v>
      </c>
      <c r="B7" s="5" t="s">
        <v>23</v>
      </c>
      <c r="C7" s="5" t="s">
        <v>24</v>
      </c>
      <c r="D7" s="5" t="s">
        <v>41</v>
      </c>
      <c r="E7" s="5" t="s">
        <v>42</v>
      </c>
      <c r="F7" s="5" t="s">
        <v>27</v>
      </c>
      <c r="G7" s="5" t="n">
        <f aca="false">LEN(TRIM(D7))-LEN(SUBSTITUTE(TRIM(D7)," ",""))+1</f>
        <v>36</v>
      </c>
      <c r="H7" s="5" t="str">
        <f aca="false">IF(G7&lt;40,"short",IF(G7&lt;100,"medium",IF(G7&lt;=200,"long","very long")))</f>
        <v>short</v>
      </c>
      <c r="I7" s="5" t="s">
        <v>28</v>
      </c>
    </row>
    <row r="8" customFormat="false" ht="35.05" hidden="false" customHeight="false" outlineLevel="0" collapsed="false">
      <c r="A8" s="5" t="s">
        <v>43</v>
      </c>
      <c r="B8" s="5" t="s">
        <v>23</v>
      </c>
      <c r="C8" s="5" t="s">
        <v>24</v>
      </c>
      <c r="D8" s="5" t="s">
        <v>44</v>
      </c>
      <c r="E8" s="5" t="s">
        <v>45</v>
      </c>
      <c r="F8" s="5" t="s">
        <v>27</v>
      </c>
      <c r="G8" s="5" t="n">
        <f aca="false">LEN(TRIM(D8))-LEN(SUBSTITUTE(TRIM(D8)," ",""))+1</f>
        <v>48</v>
      </c>
      <c r="H8" s="5" t="str">
        <f aca="false">IF(G8&lt;40,"short",IF(G8&lt;100,"medium",IF(G8&lt;=200,"long","very long")))</f>
        <v>medium</v>
      </c>
      <c r="I8" s="5" t="s">
        <v>28</v>
      </c>
    </row>
    <row r="9" customFormat="false" ht="35.05" hidden="false" customHeight="false" outlineLevel="0" collapsed="false">
      <c r="A9" s="5" t="s">
        <v>46</v>
      </c>
      <c r="B9" s="5" t="s">
        <v>23</v>
      </c>
      <c r="C9" s="5" t="s">
        <v>24</v>
      </c>
      <c r="D9" s="5" t="s">
        <v>47</v>
      </c>
      <c r="E9" s="5" t="s">
        <v>48</v>
      </c>
      <c r="F9" s="5" t="s">
        <v>27</v>
      </c>
      <c r="G9" s="5" t="n">
        <f aca="false">LEN(TRIM(D9))-LEN(SUBSTITUTE(TRIM(D9)," ",""))+1</f>
        <v>45</v>
      </c>
      <c r="H9" s="5" t="str">
        <f aca="false">IF(G9&lt;40,"short",IF(G9&lt;100,"medium",IF(G9&lt;=200,"long","very long")))</f>
        <v>medium</v>
      </c>
      <c r="I9" s="5" t="s">
        <v>28</v>
      </c>
    </row>
    <row r="10" customFormat="false" ht="68.65" hidden="false" customHeight="false" outlineLevel="0" collapsed="false">
      <c r="A10" s="5" t="s">
        <v>49</v>
      </c>
      <c r="B10" s="5" t="s">
        <v>23</v>
      </c>
      <c r="C10" s="5" t="s">
        <v>24</v>
      </c>
      <c r="D10" s="5" t="s">
        <v>50</v>
      </c>
      <c r="E10" s="5" t="s">
        <v>42</v>
      </c>
      <c r="F10" s="5" t="s">
        <v>27</v>
      </c>
      <c r="G10" s="5" t="n">
        <f aca="false">LEN(TRIM(D10))-LEN(SUBSTITUTE(TRIM(D10)," ",""))+1</f>
        <v>108</v>
      </c>
      <c r="H10" s="5" t="str">
        <f aca="false">IF(G10&lt;40,"short",IF(G10&lt;100,"medium",IF(G10&lt;=200,"long","very long")))</f>
        <v>long</v>
      </c>
      <c r="I10" s="5" t="s">
        <v>28</v>
      </c>
    </row>
    <row r="11" customFormat="false" ht="57.45" hidden="false" customHeight="false" outlineLevel="0" collapsed="false">
      <c r="A11" s="5" t="s">
        <v>51</v>
      </c>
      <c r="B11" s="5" t="s">
        <v>23</v>
      </c>
      <c r="C11" s="5" t="s">
        <v>24</v>
      </c>
      <c r="D11" s="5" t="s">
        <v>52</v>
      </c>
      <c r="E11" s="5" t="s">
        <v>53</v>
      </c>
      <c r="F11" s="5" t="s">
        <v>27</v>
      </c>
      <c r="G11" s="5" t="n">
        <f aca="false">LEN(TRIM(D11))-LEN(SUBSTITUTE(TRIM(D11)," ",""))+1</f>
        <v>107</v>
      </c>
      <c r="H11" s="5" t="str">
        <f aca="false">IF(G11&lt;40,"short",IF(G11&lt;100,"medium",IF(G11&lt;=200,"long","very long")))</f>
        <v>long</v>
      </c>
      <c r="I11" s="5" t="s">
        <v>28</v>
      </c>
    </row>
    <row r="12" customFormat="false" ht="46.25" hidden="false" customHeight="false" outlineLevel="0" collapsed="false">
      <c r="A12" s="5" t="s">
        <v>54</v>
      </c>
      <c r="B12" s="5" t="s">
        <v>23</v>
      </c>
      <c r="C12" s="5" t="s">
        <v>24</v>
      </c>
      <c r="D12" s="5" t="s">
        <v>55</v>
      </c>
      <c r="E12" s="5" t="s">
        <v>31</v>
      </c>
      <c r="F12" s="5" t="s">
        <v>27</v>
      </c>
      <c r="G12" s="5" t="n">
        <f aca="false">LEN(TRIM(D12))-LEN(SUBSTITUTE(TRIM(D12)," ",""))+1</f>
        <v>71</v>
      </c>
      <c r="H12" s="5" t="str">
        <f aca="false">IF(G12&lt;40,"short",IF(G12&lt;100,"medium",IF(G12&lt;=200,"long","very long")))</f>
        <v>medium</v>
      </c>
      <c r="I12" s="5" t="s">
        <v>28</v>
      </c>
    </row>
    <row r="13" customFormat="false" ht="35.05" hidden="false" customHeight="false" outlineLevel="0" collapsed="false">
      <c r="A13" s="5" t="s">
        <v>56</v>
      </c>
      <c r="B13" s="5" t="s">
        <v>23</v>
      </c>
      <c r="C13" s="5" t="s">
        <v>24</v>
      </c>
      <c r="D13" s="5" t="s">
        <v>57</v>
      </c>
      <c r="E13" s="5" t="s">
        <v>34</v>
      </c>
      <c r="F13" s="5" t="s">
        <v>27</v>
      </c>
      <c r="G13" s="5" t="n">
        <f aca="false">LEN(TRIM(D13))-LEN(SUBSTITUTE(TRIM(D13)," ",""))+1</f>
        <v>58</v>
      </c>
      <c r="H13" s="5" t="str">
        <f aca="false">IF(G13&lt;40,"short",IF(G13&lt;100,"medium",IF(G13&lt;=200,"long","very long")))</f>
        <v>medium</v>
      </c>
      <c r="I13" s="5" t="s">
        <v>28</v>
      </c>
    </row>
    <row r="14" customFormat="false" ht="23.85" hidden="false" customHeight="false" outlineLevel="0" collapsed="false">
      <c r="A14" s="5" t="s">
        <v>58</v>
      </c>
      <c r="B14" s="5" t="s">
        <v>23</v>
      </c>
      <c r="C14" s="5" t="s">
        <v>24</v>
      </c>
      <c r="D14" s="5" t="s">
        <v>59</v>
      </c>
      <c r="E14" s="5" t="s">
        <v>31</v>
      </c>
      <c r="F14" s="5" t="s">
        <v>27</v>
      </c>
      <c r="G14" s="5" t="n">
        <f aca="false">LEN(TRIM(D14))-LEN(SUBSTITUTE(TRIM(D14)," ",""))+1</f>
        <v>35</v>
      </c>
      <c r="H14" s="5" t="str">
        <f aca="false">IF(G14&lt;40,"short",IF(G14&lt;100,"medium",IF(G14&lt;=200,"long","very long")))</f>
        <v>short</v>
      </c>
      <c r="I14" s="5" t="s">
        <v>28</v>
      </c>
    </row>
    <row r="15" customFormat="false" ht="57.45" hidden="false" customHeight="false" outlineLevel="0" collapsed="false">
      <c r="A15" s="5" t="s">
        <v>60</v>
      </c>
      <c r="B15" s="5" t="s">
        <v>23</v>
      </c>
      <c r="C15" s="5" t="s">
        <v>24</v>
      </c>
      <c r="D15" s="5" t="s">
        <v>61</v>
      </c>
      <c r="E15" s="5" t="s">
        <v>42</v>
      </c>
      <c r="F15" s="5" t="s">
        <v>27</v>
      </c>
      <c r="G15" s="5" t="n">
        <f aca="false">LEN(TRIM(D15))-LEN(SUBSTITUTE(TRIM(D15)," ",""))+1</f>
        <v>89</v>
      </c>
      <c r="H15" s="5" t="str">
        <f aca="false">IF(G15&lt;40,"short",IF(G15&lt;100,"medium",IF(G15&lt;=200,"long","very long")))</f>
        <v>medium</v>
      </c>
      <c r="I15" s="5" t="s">
        <v>28</v>
      </c>
    </row>
    <row r="16" customFormat="false" ht="23.85" hidden="false" customHeight="false" outlineLevel="0" collapsed="false">
      <c r="A16" s="5" t="s">
        <v>62</v>
      </c>
      <c r="B16" s="5" t="s">
        <v>23</v>
      </c>
      <c r="C16" s="5" t="s">
        <v>24</v>
      </c>
      <c r="D16" s="5" t="s">
        <v>63</v>
      </c>
      <c r="E16" s="5" t="s">
        <v>26</v>
      </c>
      <c r="F16" s="5" t="s">
        <v>27</v>
      </c>
      <c r="G16" s="5" t="n">
        <f aca="false">LEN(TRIM(D16))-LEN(SUBSTITUTE(TRIM(D16)," ",""))+1</f>
        <v>39</v>
      </c>
      <c r="H16" s="5" t="str">
        <f aca="false">IF(G16&lt;40,"short",IF(G16&lt;100,"medium",IF(G16&lt;=200,"long","very long")))</f>
        <v>short</v>
      </c>
      <c r="I16" s="5" t="s">
        <v>28</v>
      </c>
    </row>
    <row r="17" customFormat="false" ht="23.85" hidden="false" customHeight="false" outlineLevel="0" collapsed="false">
      <c r="A17" s="5" t="s">
        <v>64</v>
      </c>
      <c r="B17" s="5" t="s">
        <v>23</v>
      </c>
      <c r="C17" s="5" t="s">
        <v>24</v>
      </c>
      <c r="D17" s="5" t="s">
        <v>65</v>
      </c>
      <c r="E17" s="5" t="s">
        <v>66</v>
      </c>
      <c r="F17" s="5" t="s">
        <v>27</v>
      </c>
      <c r="G17" s="5" t="n">
        <f aca="false">LEN(TRIM(D17))-LEN(SUBSTITUTE(TRIM(D17)," ",""))+1</f>
        <v>38</v>
      </c>
      <c r="H17" s="5" t="str">
        <f aca="false">IF(G17&lt;40,"short",IF(G17&lt;100,"medium",IF(G17&lt;=200,"long","very long")))</f>
        <v>short</v>
      </c>
      <c r="I17" s="5" t="s">
        <v>28</v>
      </c>
    </row>
    <row r="18" customFormat="false" ht="35.05" hidden="false" customHeight="false" outlineLevel="0" collapsed="false">
      <c r="A18" s="5" t="s">
        <v>67</v>
      </c>
      <c r="B18" s="5" t="s">
        <v>23</v>
      </c>
      <c r="C18" s="5" t="s">
        <v>24</v>
      </c>
      <c r="D18" s="5" t="s">
        <v>68</v>
      </c>
      <c r="E18" s="5" t="s">
        <v>66</v>
      </c>
      <c r="F18" s="5" t="s">
        <v>27</v>
      </c>
      <c r="G18" s="5" t="n">
        <f aca="false">LEN(TRIM(D18))-LEN(SUBSTITUTE(TRIM(D18)," ",""))+1</f>
        <v>55</v>
      </c>
      <c r="H18" s="5" t="str">
        <f aca="false">IF(G18&lt;40,"short",IF(G18&lt;100,"medium",IF(G18&lt;=200,"long","very long")))</f>
        <v>medium</v>
      </c>
      <c r="I18" s="5" t="s">
        <v>28</v>
      </c>
    </row>
    <row r="19" customFormat="false" ht="23.85" hidden="false" customHeight="false" outlineLevel="0" collapsed="false">
      <c r="A19" s="5" t="s">
        <v>69</v>
      </c>
      <c r="B19" s="5" t="s">
        <v>23</v>
      </c>
      <c r="C19" s="5" t="s">
        <v>24</v>
      </c>
      <c r="D19" s="5" t="s">
        <v>70</v>
      </c>
      <c r="E19" s="5" t="s">
        <v>37</v>
      </c>
      <c r="F19" s="5" t="s">
        <v>27</v>
      </c>
      <c r="G19" s="5" t="n">
        <f aca="false">LEN(TRIM(D19))-LEN(SUBSTITUTE(TRIM(D19)," ",""))+1</f>
        <v>38</v>
      </c>
      <c r="H19" s="5" t="str">
        <f aca="false">IF(G19&lt;40,"short",IF(G19&lt;100,"medium",IF(G19&lt;=200,"long","very long")))</f>
        <v>short</v>
      </c>
      <c r="I19" s="5" t="s">
        <v>28</v>
      </c>
    </row>
    <row r="20" customFormat="false" ht="35.05" hidden="false" customHeight="false" outlineLevel="0" collapsed="false">
      <c r="A20" s="5" t="s">
        <v>71</v>
      </c>
      <c r="B20" s="5" t="s">
        <v>23</v>
      </c>
      <c r="C20" s="5" t="s">
        <v>24</v>
      </c>
      <c r="D20" s="5" t="s">
        <v>72</v>
      </c>
      <c r="E20" s="5" t="s">
        <v>37</v>
      </c>
      <c r="F20" s="5" t="s">
        <v>27</v>
      </c>
      <c r="G20" s="5" t="n">
        <f aca="false">LEN(TRIM(D20))-LEN(SUBSTITUTE(TRIM(D20)," ",""))+1</f>
        <v>52</v>
      </c>
      <c r="H20" s="5" t="str">
        <f aca="false">IF(G20&lt;40,"short",IF(G20&lt;100,"medium",IF(G20&lt;=200,"long","very long")))</f>
        <v>medium</v>
      </c>
      <c r="I20" s="5" t="s">
        <v>28</v>
      </c>
    </row>
    <row r="21" customFormat="false" ht="68.65" hidden="false" customHeight="false" outlineLevel="0" collapsed="false">
      <c r="A21" s="5" t="s">
        <v>73</v>
      </c>
      <c r="B21" s="5" t="s">
        <v>23</v>
      </c>
      <c r="C21" s="5" t="s">
        <v>24</v>
      </c>
      <c r="D21" s="5" t="s">
        <v>74</v>
      </c>
      <c r="E21" s="5" t="s">
        <v>48</v>
      </c>
      <c r="F21" s="5" t="s">
        <v>27</v>
      </c>
      <c r="G21" s="5" t="n">
        <f aca="false">LEN(TRIM(D21))-LEN(SUBSTITUTE(TRIM(D21)," ",""))+1</f>
        <v>115</v>
      </c>
      <c r="H21" s="5" t="str">
        <f aca="false">IF(G21&lt;40,"short",IF(G21&lt;100,"medium",IF(G21&lt;=200,"long","very long")))</f>
        <v>long</v>
      </c>
      <c r="I21" s="5" t="s">
        <v>28</v>
      </c>
    </row>
    <row r="22" customFormat="false" ht="23.85" hidden="false" customHeight="false" outlineLevel="0" collapsed="false">
      <c r="A22" s="5" t="s">
        <v>75</v>
      </c>
      <c r="B22" s="5" t="s">
        <v>23</v>
      </c>
      <c r="C22" s="5" t="s">
        <v>24</v>
      </c>
      <c r="D22" s="5" t="s">
        <v>76</v>
      </c>
      <c r="E22" s="5" t="s">
        <v>48</v>
      </c>
      <c r="F22" s="5" t="s">
        <v>27</v>
      </c>
      <c r="G22" s="5" t="n">
        <f aca="false">LEN(TRIM(D22))-LEN(SUBSTITUTE(TRIM(D22)," ",""))+1</f>
        <v>35</v>
      </c>
      <c r="H22" s="5" t="str">
        <f aca="false">IF(G22&lt;40,"short",IF(G22&lt;100,"medium",IF(G22&lt;=200,"long","very long")))</f>
        <v>short</v>
      </c>
      <c r="I22" s="5" t="s">
        <v>28</v>
      </c>
    </row>
    <row r="23" customFormat="false" ht="35.05" hidden="false" customHeight="false" outlineLevel="0" collapsed="false">
      <c r="A23" s="5" t="s">
        <v>77</v>
      </c>
      <c r="B23" s="5" t="s">
        <v>23</v>
      </c>
      <c r="C23" s="5" t="s">
        <v>24</v>
      </c>
      <c r="D23" s="5" t="s">
        <v>78</v>
      </c>
      <c r="E23" s="5" t="s">
        <v>79</v>
      </c>
      <c r="F23" s="5" t="s">
        <v>27</v>
      </c>
      <c r="G23" s="5" t="n">
        <f aca="false">LEN(TRIM(D23))-LEN(SUBSTITUTE(TRIM(D23)," ",""))+1</f>
        <v>53</v>
      </c>
      <c r="H23" s="5" t="str">
        <f aca="false">IF(G23&lt;40,"short",IF(G23&lt;100,"medium",IF(G23&lt;=200,"long","very long")))</f>
        <v>medium</v>
      </c>
      <c r="I23" s="5" t="s">
        <v>28</v>
      </c>
    </row>
    <row r="24" customFormat="false" ht="68.65" hidden="false" customHeight="false" outlineLevel="0" collapsed="false">
      <c r="A24" s="5" t="s">
        <v>80</v>
      </c>
      <c r="B24" s="5" t="s">
        <v>23</v>
      </c>
      <c r="C24" s="5" t="s">
        <v>24</v>
      </c>
      <c r="D24" s="5" t="s">
        <v>81</v>
      </c>
      <c r="E24" s="5" t="s">
        <v>45</v>
      </c>
      <c r="F24" s="5" t="s">
        <v>27</v>
      </c>
      <c r="G24" s="5" t="n">
        <f aca="false">LEN(TRIM(D24))-LEN(SUBSTITUTE(TRIM(D24)," ",""))+1</f>
        <v>109</v>
      </c>
      <c r="H24" s="5" t="str">
        <f aca="false">IF(G24&lt;40,"short",IF(G24&lt;100,"medium",IF(G24&lt;=200,"long","very long")))</f>
        <v>long</v>
      </c>
      <c r="I24" s="5" t="s">
        <v>28</v>
      </c>
    </row>
    <row r="25" customFormat="false" ht="23.85" hidden="false" customHeight="false" outlineLevel="0" collapsed="false">
      <c r="A25" s="5" t="s">
        <v>82</v>
      </c>
      <c r="B25" s="5" t="s">
        <v>23</v>
      </c>
      <c r="C25" s="5" t="s">
        <v>24</v>
      </c>
      <c r="D25" s="5" t="s">
        <v>83</v>
      </c>
      <c r="E25" s="5" t="s">
        <v>53</v>
      </c>
      <c r="F25" s="5" t="s">
        <v>27</v>
      </c>
      <c r="G25" s="5" t="n">
        <f aca="false">LEN(TRIM(D25))-LEN(SUBSTITUTE(TRIM(D25)," ",""))+1</f>
        <v>35</v>
      </c>
      <c r="H25" s="5" t="str">
        <f aca="false">IF(G25&lt;40,"short",IF(G25&lt;100,"medium",IF(G25&lt;=200,"long","very long")))</f>
        <v>short</v>
      </c>
      <c r="I25" s="5" t="s">
        <v>28</v>
      </c>
    </row>
    <row r="26" customFormat="false" ht="35.05" hidden="false" customHeight="false" outlineLevel="0" collapsed="false">
      <c r="A26" s="5" t="s">
        <v>84</v>
      </c>
      <c r="B26" s="5" t="s">
        <v>23</v>
      </c>
      <c r="C26" s="5" t="s">
        <v>24</v>
      </c>
      <c r="D26" s="5" t="s">
        <v>85</v>
      </c>
      <c r="E26" s="5" t="s">
        <v>42</v>
      </c>
      <c r="F26" s="5" t="s">
        <v>27</v>
      </c>
      <c r="G26" s="5" t="n">
        <f aca="false">LEN(TRIM(D26))-LEN(SUBSTITUTE(TRIM(D26)," ",""))+1</f>
        <v>55</v>
      </c>
      <c r="H26" s="5" t="str">
        <f aca="false">IF(G26&lt;40,"short",IF(G26&lt;100,"medium",IF(G26&lt;=200,"long","very long")))</f>
        <v>medium</v>
      </c>
      <c r="I26" s="5" t="s">
        <v>28</v>
      </c>
    </row>
    <row r="27" customFormat="false" ht="23.85" hidden="false" customHeight="false" outlineLevel="0" collapsed="false">
      <c r="A27" s="5" t="s">
        <v>86</v>
      </c>
      <c r="B27" s="5" t="s">
        <v>23</v>
      </c>
      <c r="C27" s="5" t="s">
        <v>24</v>
      </c>
      <c r="D27" s="5" t="s">
        <v>87</v>
      </c>
      <c r="E27" s="5" t="s">
        <v>26</v>
      </c>
      <c r="F27" s="5" t="s">
        <v>88</v>
      </c>
      <c r="G27" s="5" t="n">
        <f aca="false">LEN(TRIM(D27))-LEN(SUBSTITUTE(TRIM(D27)," ",""))+1</f>
        <v>37</v>
      </c>
      <c r="H27" s="5" t="str">
        <f aca="false">IF(G27&lt;40,"short",IF(G27&lt;100,"medium",IF(G27&lt;=200,"long","very long")))</f>
        <v>short</v>
      </c>
      <c r="I27" s="5" t="s">
        <v>28</v>
      </c>
    </row>
    <row r="28" customFormat="false" ht="23.85" hidden="false" customHeight="false" outlineLevel="0" collapsed="false">
      <c r="A28" s="5" t="s">
        <v>89</v>
      </c>
      <c r="B28" s="5" t="s">
        <v>23</v>
      </c>
      <c r="C28" s="5" t="s">
        <v>24</v>
      </c>
      <c r="D28" s="5" t="s">
        <v>90</v>
      </c>
      <c r="E28" s="5" t="s">
        <v>48</v>
      </c>
      <c r="F28" s="5" t="s">
        <v>88</v>
      </c>
      <c r="G28" s="5" t="n">
        <f aca="false">LEN(TRIM(D28))-LEN(SUBSTITUTE(TRIM(D28)," ",""))+1</f>
        <v>42</v>
      </c>
      <c r="H28" s="5" t="str">
        <f aca="false">IF(G28&lt;40,"short",IF(G28&lt;100,"medium",IF(G28&lt;=200,"long","very long")))</f>
        <v>medium</v>
      </c>
      <c r="I28" s="5" t="s">
        <v>28</v>
      </c>
    </row>
    <row r="29" customFormat="false" ht="23.85" hidden="false" customHeight="false" outlineLevel="0" collapsed="false">
      <c r="A29" s="5" t="s">
        <v>91</v>
      </c>
      <c r="B29" s="5" t="s">
        <v>23</v>
      </c>
      <c r="C29" s="5" t="s">
        <v>24</v>
      </c>
      <c r="D29" s="5" t="s">
        <v>92</v>
      </c>
      <c r="E29" s="5" t="s">
        <v>53</v>
      </c>
      <c r="F29" s="5" t="s">
        <v>88</v>
      </c>
      <c r="G29" s="5" t="n">
        <f aca="false">LEN(TRIM(D29))-LEN(SUBSTITUTE(TRIM(D29)," ",""))+1</f>
        <v>34</v>
      </c>
      <c r="H29" s="5" t="str">
        <f aca="false">IF(G29&lt;40,"short",IF(G29&lt;100,"medium",IF(G29&lt;=200,"long","very long")))</f>
        <v>short</v>
      </c>
      <c r="I29" s="5" t="s">
        <v>28</v>
      </c>
    </row>
    <row r="30" customFormat="false" ht="35.05" hidden="false" customHeight="false" outlineLevel="0" collapsed="false">
      <c r="A30" s="5" t="s">
        <v>93</v>
      </c>
      <c r="B30" s="5" t="s">
        <v>23</v>
      </c>
      <c r="C30" s="5" t="s">
        <v>24</v>
      </c>
      <c r="D30" s="5" t="s">
        <v>94</v>
      </c>
      <c r="E30" s="5" t="s">
        <v>31</v>
      </c>
      <c r="F30" s="5" t="s">
        <v>88</v>
      </c>
      <c r="G30" s="5" t="n">
        <f aca="false">LEN(TRIM(D30))-LEN(SUBSTITUTE(TRIM(D30)," ",""))+1</f>
        <v>47</v>
      </c>
      <c r="H30" s="5" t="str">
        <f aca="false">IF(G30&lt;40,"short",IF(G30&lt;100,"medium",IF(G30&lt;=200,"long","very long")))</f>
        <v>medium</v>
      </c>
      <c r="I30" s="5" t="s">
        <v>28</v>
      </c>
    </row>
    <row r="31" customFormat="false" ht="23.85" hidden="false" customHeight="false" outlineLevel="0" collapsed="false">
      <c r="A31" s="5" t="s">
        <v>95</v>
      </c>
      <c r="B31" s="5" t="s">
        <v>23</v>
      </c>
      <c r="C31" s="5" t="s">
        <v>24</v>
      </c>
      <c r="D31" s="5" t="s">
        <v>96</v>
      </c>
      <c r="E31" s="5" t="s">
        <v>34</v>
      </c>
      <c r="F31" s="5" t="s">
        <v>88</v>
      </c>
      <c r="G31" s="5" t="n">
        <f aca="false">LEN(TRIM(D31))-LEN(SUBSTITUTE(TRIM(D31)," ",""))+1</f>
        <v>46</v>
      </c>
      <c r="H31" s="5" t="str">
        <f aca="false">IF(G31&lt;40,"short",IF(G31&lt;100,"medium",IF(G31&lt;=200,"long","very long")))</f>
        <v>medium</v>
      </c>
      <c r="I31" s="5" t="s">
        <v>28</v>
      </c>
    </row>
    <row r="32" customFormat="false" ht="35.05" hidden="false" customHeight="false" outlineLevel="0" collapsed="false">
      <c r="A32" s="5" t="s">
        <v>97</v>
      </c>
      <c r="B32" s="5" t="s">
        <v>23</v>
      </c>
      <c r="C32" s="5" t="s">
        <v>24</v>
      </c>
      <c r="D32" s="5" t="s">
        <v>98</v>
      </c>
      <c r="E32" s="5" t="s">
        <v>79</v>
      </c>
      <c r="F32" s="5" t="s">
        <v>88</v>
      </c>
      <c r="G32" s="5" t="n">
        <f aca="false">LEN(TRIM(D32))-LEN(SUBSTITUTE(TRIM(D32)," ",""))+1</f>
        <v>47</v>
      </c>
      <c r="H32" s="5" t="str">
        <f aca="false">IF(G32&lt;40,"short",IF(G32&lt;100,"medium",IF(G32&lt;=200,"long","very long")))</f>
        <v>medium</v>
      </c>
      <c r="I32" s="5" t="s">
        <v>28</v>
      </c>
    </row>
    <row r="33" customFormat="false" ht="23.85" hidden="false" customHeight="false" outlineLevel="0" collapsed="false">
      <c r="A33" s="5" t="s">
        <v>99</v>
      </c>
      <c r="B33" s="5" t="s">
        <v>23</v>
      </c>
      <c r="C33" s="5" t="s">
        <v>24</v>
      </c>
      <c r="D33" s="5" t="s">
        <v>100</v>
      </c>
      <c r="E33" s="5" t="s">
        <v>37</v>
      </c>
      <c r="F33" s="5" t="s">
        <v>88</v>
      </c>
      <c r="G33" s="5" t="n">
        <f aca="false">LEN(TRIM(D33))-LEN(SUBSTITUTE(TRIM(D33)," ",""))+1</f>
        <v>42</v>
      </c>
      <c r="H33" s="5" t="str">
        <f aca="false">IF(G33&lt;40,"short",IF(G33&lt;100,"medium",IF(G33&lt;=200,"long","very long")))</f>
        <v>medium</v>
      </c>
      <c r="I33" s="5" t="s">
        <v>28</v>
      </c>
    </row>
    <row r="34" customFormat="false" ht="23.85" hidden="false" customHeight="false" outlineLevel="0" collapsed="false">
      <c r="A34" s="5" t="s">
        <v>101</v>
      </c>
      <c r="B34" s="5" t="s">
        <v>23</v>
      </c>
      <c r="C34" s="5" t="s">
        <v>24</v>
      </c>
      <c r="D34" s="5" t="s">
        <v>102</v>
      </c>
      <c r="E34" s="5" t="s">
        <v>66</v>
      </c>
      <c r="F34" s="5" t="s">
        <v>88</v>
      </c>
      <c r="G34" s="5" t="n">
        <f aca="false">LEN(TRIM(D34))-LEN(SUBSTITUTE(TRIM(D34)," ",""))+1</f>
        <v>40</v>
      </c>
      <c r="H34" s="5" t="str">
        <f aca="false">IF(G34&lt;40,"short",IF(G34&lt;100,"medium",IF(G34&lt;=200,"long","very long")))</f>
        <v>medium</v>
      </c>
      <c r="I34" s="5" t="s">
        <v>28</v>
      </c>
    </row>
    <row r="35" customFormat="false" ht="23.85" hidden="false" customHeight="false" outlineLevel="0" collapsed="false">
      <c r="A35" s="5" t="s">
        <v>103</v>
      </c>
      <c r="B35" s="5" t="s">
        <v>23</v>
      </c>
      <c r="C35" s="5" t="s">
        <v>24</v>
      </c>
      <c r="D35" s="5" t="s">
        <v>104</v>
      </c>
      <c r="E35" s="5" t="s">
        <v>42</v>
      </c>
      <c r="F35" s="5" t="s">
        <v>88</v>
      </c>
      <c r="G35" s="5" t="n">
        <f aca="false">LEN(TRIM(D35))-LEN(SUBSTITUTE(TRIM(D35)," ",""))+1</f>
        <v>41</v>
      </c>
      <c r="H35" s="5" t="str">
        <f aca="false">IF(G35&lt;40,"short",IF(G35&lt;100,"medium",IF(G35&lt;=200,"long","very long")))</f>
        <v>medium</v>
      </c>
      <c r="I35" s="5" t="s">
        <v>28</v>
      </c>
    </row>
    <row r="36" customFormat="false" ht="35.05" hidden="false" customHeight="false" outlineLevel="0" collapsed="false">
      <c r="A36" s="5" t="s">
        <v>105</v>
      </c>
      <c r="B36" s="5" t="s">
        <v>23</v>
      </c>
      <c r="C36" s="5" t="s">
        <v>24</v>
      </c>
      <c r="D36" s="5" t="s">
        <v>106</v>
      </c>
      <c r="E36" s="5" t="s">
        <v>45</v>
      </c>
      <c r="F36" s="5" t="s">
        <v>88</v>
      </c>
      <c r="G36" s="5" t="n">
        <f aca="false">LEN(TRIM(D36))-LEN(SUBSTITUTE(TRIM(D36)," ",""))+1</f>
        <v>45</v>
      </c>
      <c r="H36" s="5" t="str">
        <f aca="false">IF(G36&lt;40,"short",IF(G36&lt;100,"medium",IF(G36&lt;=200,"long","very long")))</f>
        <v>medium</v>
      </c>
      <c r="I36" s="5" t="s">
        <v>28</v>
      </c>
    </row>
    <row r="37" customFormat="false" ht="113.4" hidden="false" customHeight="false" outlineLevel="0" collapsed="false">
      <c r="A37" s="5" t="s">
        <v>107</v>
      </c>
      <c r="B37" s="5" t="s">
        <v>23</v>
      </c>
      <c r="C37" s="5" t="s">
        <v>24</v>
      </c>
      <c r="D37" s="5" t="s">
        <v>108</v>
      </c>
      <c r="E37" s="5" t="s">
        <v>34</v>
      </c>
      <c r="F37" s="5" t="s">
        <v>109</v>
      </c>
      <c r="G37" s="5" t="n">
        <f aca="false">LEN(TRIM(D37))-LEN(SUBSTITUTE(TRIM(D37)," ",""))+1</f>
        <v>215</v>
      </c>
      <c r="H37" s="5" t="str">
        <f aca="false">IF(G37&lt;40,"short",IF(G37&lt;100,"medium",IF(G37&lt;=200,"long","very long")))</f>
        <v>very long</v>
      </c>
      <c r="I37" s="5" t="s">
        <v>28</v>
      </c>
    </row>
    <row r="38" customFormat="false" ht="46.25" hidden="false" customHeight="false" outlineLevel="0" collapsed="false">
      <c r="A38" s="5" t="s">
        <v>110</v>
      </c>
      <c r="B38" s="5" t="s">
        <v>23</v>
      </c>
      <c r="C38" s="5" t="s">
        <v>24</v>
      </c>
      <c r="D38" s="5" t="s">
        <v>111</v>
      </c>
      <c r="E38" s="5" t="s">
        <v>48</v>
      </c>
      <c r="F38" s="5" t="s">
        <v>109</v>
      </c>
      <c r="G38" s="5" t="n">
        <f aca="false">LEN(TRIM(D38))-LEN(SUBSTITUTE(TRIM(D38)," ",""))+1</f>
        <v>80</v>
      </c>
      <c r="H38" s="5" t="str">
        <f aca="false">IF(G38&lt;40,"short",IF(G38&lt;100,"medium",IF(G38&lt;=200,"long","very long")))</f>
        <v>medium</v>
      </c>
      <c r="I38" s="5" t="s">
        <v>28</v>
      </c>
    </row>
    <row r="39" customFormat="false" ht="57.45" hidden="false" customHeight="false" outlineLevel="0" collapsed="false">
      <c r="A39" s="5" t="s">
        <v>112</v>
      </c>
      <c r="B39" s="5" t="s">
        <v>23</v>
      </c>
      <c r="C39" s="5" t="s">
        <v>24</v>
      </c>
      <c r="D39" s="5" t="s">
        <v>113</v>
      </c>
      <c r="E39" s="5" t="s">
        <v>79</v>
      </c>
      <c r="F39" s="5" t="s">
        <v>109</v>
      </c>
      <c r="G39" s="5" t="n">
        <f aca="false">LEN(TRIM(D39))-LEN(SUBSTITUTE(TRIM(D39)," ",""))+1</f>
        <v>109</v>
      </c>
      <c r="H39" s="5" t="str">
        <f aca="false">IF(G39&lt;40,"short",IF(G39&lt;100,"medium",IF(G39&lt;=200,"long","very long")))</f>
        <v>long</v>
      </c>
      <c r="I39" s="5" t="s">
        <v>28</v>
      </c>
    </row>
    <row r="40" customFormat="false" ht="68.65" hidden="false" customHeight="false" outlineLevel="0" collapsed="false">
      <c r="A40" s="5" t="s">
        <v>114</v>
      </c>
      <c r="B40" s="5" t="s">
        <v>23</v>
      </c>
      <c r="C40" s="5" t="s">
        <v>24</v>
      </c>
      <c r="D40" s="5" t="s">
        <v>115</v>
      </c>
      <c r="E40" s="5" t="s">
        <v>53</v>
      </c>
      <c r="F40" s="5" t="s">
        <v>109</v>
      </c>
      <c r="G40" s="5" t="n">
        <f aca="false">LEN(TRIM(D40))-LEN(SUBSTITUTE(TRIM(D40)," ",""))+1</f>
        <v>109</v>
      </c>
      <c r="H40" s="5" t="str">
        <f aca="false">IF(G40&lt;40,"short",IF(G40&lt;100,"medium",IF(G40&lt;=200,"long","very long")))</f>
        <v>long</v>
      </c>
      <c r="I40" s="5" t="s">
        <v>28</v>
      </c>
    </row>
    <row r="41" customFormat="false" ht="46.25" hidden="false" customHeight="false" outlineLevel="0" collapsed="false">
      <c r="A41" s="5" t="s">
        <v>116</v>
      </c>
      <c r="B41" s="5" t="s">
        <v>23</v>
      </c>
      <c r="C41" s="5" t="s">
        <v>24</v>
      </c>
      <c r="D41" s="5" t="s">
        <v>117</v>
      </c>
      <c r="E41" s="5" t="s">
        <v>66</v>
      </c>
      <c r="F41" s="5" t="s">
        <v>109</v>
      </c>
      <c r="G41" s="5" t="n">
        <f aca="false">LEN(TRIM(D41))-LEN(SUBSTITUTE(TRIM(D41)," ",""))+1</f>
        <v>65</v>
      </c>
      <c r="H41" s="5" t="str">
        <f aca="false">IF(G41&lt;40,"short",IF(G41&lt;100,"medium",IF(G41&lt;=200,"long","very long")))</f>
        <v>medium</v>
      </c>
      <c r="I41" s="5" t="s">
        <v>28</v>
      </c>
    </row>
    <row r="42" customFormat="false" ht="23.85" hidden="false" customHeight="false" outlineLevel="0" collapsed="false">
      <c r="A42" s="5" t="s">
        <v>118</v>
      </c>
      <c r="B42" s="5" t="s">
        <v>23</v>
      </c>
      <c r="C42" s="5" t="s">
        <v>24</v>
      </c>
      <c r="D42" s="5" t="s">
        <v>119</v>
      </c>
      <c r="E42" s="5" t="s">
        <v>26</v>
      </c>
      <c r="F42" s="5" t="s">
        <v>109</v>
      </c>
      <c r="G42" s="5" t="n">
        <f aca="false">LEN(TRIM(D42))-LEN(SUBSTITUTE(TRIM(D42)," ",""))+1</f>
        <v>30</v>
      </c>
      <c r="H42" s="5" t="str">
        <f aca="false">IF(G42&lt;40,"short",IF(G42&lt;100,"medium",IF(G42&lt;=200,"long","very long")))</f>
        <v>short</v>
      </c>
      <c r="I42" s="5" t="s">
        <v>28</v>
      </c>
    </row>
    <row r="43" customFormat="false" ht="57.45" hidden="false" customHeight="false" outlineLevel="0" collapsed="false">
      <c r="A43" s="5" t="s">
        <v>120</v>
      </c>
      <c r="B43" s="5" t="s">
        <v>23</v>
      </c>
      <c r="C43" s="5" t="s">
        <v>24</v>
      </c>
      <c r="D43" s="5" t="s">
        <v>121</v>
      </c>
      <c r="E43" s="5" t="s">
        <v>53</v>
      </c>
      <c r="F43" s="5" t="s">
        <v>109</v>
      </c>
      <c r="G43" s="5" t="n">
        <f aca="false">LEN(TRIM(D43))-LEN(SUBSTITUTE(TRIM(D43)," ",""))+1</f>
        <v>104</v>
      </c>
      <c r="H43" s="5" t="str">
        <f aca="false">IF(G43&lt;40,"short",IF(G43&lt;100,"medium",IF(G43&lt;=200,"long","very long")))</f>
        <v>long</v>
      </c>
      <c r="I43" s="5" t="s">
        <v>28</v>
      </c>
    </row>
    <row r="44" customFormat="false" ht="35.05" hidden="false" customHeight="false" outlineLevel="0" collapsed="false">
      <c r="A44" s="5" t="s">
        <v>122</v>
      </c>
      <c r="B44" s="5" t="s">
        <v>23</v>
      </c>
      <c r="C44" s="5" t="s">
        <v>24</v>
      </c>
      <c r="D44" s="5" t="s">
        <v>123</v>
      </c>
      <c r="E44" s="5" t="s">
        <v>48</v>
      </c>
      <c r="F44" s="5" t="s">
        <v>109</v>
      </c>
      <c r="G44" s="5" t="n">
        <f aca="false">LEN(TRIM(D44))-LEN(SUBSTITUTE(TRIM(D44)," ",""))+1</f>
        <v>65</v>
      </c>
      <c r="H44" s="5" t="str">
        <f aca="false">IF(G44&lt;40,"short",IF(G44&lt;100,"medium",IF(G44&lt;=200,"long","very long")))</f>
        <v>medium</v>
      </c>
      <c r="I44" s="5" t="s">
        <v>28</v>
      </c>
    </row>
    <row r="45" customFormat="false" ht="57.45" hidden="false" customHeight="false" outlineLevel="0" collapsed="false">
      <c r="A45" s="5" t="s">
        <v>124</v>
      </c>
      <c r="B45" s="5" t="s">
        <v>23</v>
      </c>
      <c r="C45" s="5" t="s">
        <v>24</v>
      </c>
      <c r="D45" s="5" t="s">
        <v>125</v>
      </c>
      <c r="E45" s="5" t="s">
        <v>48</v>
      </c>
      <c r="F45" s="5" t="s">
        <v>109</v>
      </c>
      <c r="G45" s="5" t="n">
        <f aca="false">LEN(TRIM(D45))-LEN(SUBSTITUTE(TRIM(D45)," ",""))+1</f>
        <v>108</v>
      </c>
      <c r="H45" s="5" t="str">
        <f aca="false">IF(G45&lt;40,"short",IF(G45&lt;100,"medium",IF(G45&lt;=200,"long","very long")))</f>
        <v>long</v>
      </c>
      <c r="I45" s="5" t="s">
        <v>28</v>
      </c>
    </row>
    <row r="46" customFormat="false" ht="46.25" hidden="false" customHeight="false" outlineLevel="0" collapsed="false">
      <c r="A46" s="5" t="s">
        <v>126</v>
      </c>
      <c r="B46" s="5" t="s">
        <v>23</v>
      </c>
      <c r="C46" s="5" t="s">
        <v>24</v>
      </c>
      <c r="D46" s="5" t="s">
        <v>127</v>
      </c>
      <c r="E46" s="5" t="s">
        <v>34</v>
      </c>
      <c r="F46" s="5" t="s">
        <v>109</v>
      </c>
      <c r="G46" s="5" t="n">
        <f aca="false">LEN(TRIM(D46))-LEN(SUBSTITUTE(TRIM(D46)," ",""))+1</f>
        <v>76</v>
      </c>
      <c r="H46" s="5" t="str">
        <f aca="false">IF(G46&lt;40,"short",IF(G46&lt;100,"medium",IF(G46&lt;=200,"long","very long")))</f>
        <v>medium</v>
      </c>
      <c r="I46" s="5" t="s">
        <v>28</v>
      </c>
    </row>
    <row r="47" customFormat="false" ht="23.85" hidden="false" customHeight="false" outlineLevel="0" collapsed="false">
      <c r="A47" s="5" t="s">
        <v>128</v>
      </c>
      <c r="B47" s="5" t="s">
        <v>23</v>
      </c>
      <c r="C47" s="5" t="s">
        <v>24</v>
      </c>
      <c r="D47" s="5" t="s">
        <v>129</v>
      </c>
      <c r="E47" s="5" t="s">
        <v>66</v>
      </c>
      <c r="F47" s="5" t="s">
        <v>109</v>
      </c>
      <c r="G47" s="5" t="n">
        <f aca="false">LEN(TRIM(D47))-LEN(SUBSTITUTE(TRIM(D47)," ",""))+1</f>
        <v>35</v>
      </c>
      <c r="H47" s="5" t="str">
        <f aca="false">IF(G47&lt;40,"short",IF(G47&lt;100,"medium",IF(G47&lt;=200,"long","very long")))</f>
        <v>short</v>
      </c>
      <c r="I47" s="5" t="s">
        <v>28</v>
      </c>
    </row>
    <row r="48" customFormat="false" ht="23.85" hidden="false" customHeight="false" outlineLevel="0" collapsed="false">
      <c r="A48" s="5" t="s">
        <v>130</v>
      </c>
      <c r="B48" s="5" t="s">
        <v>23</v>
      </c>
      <c r="C48" s="5" t="s">
        <v>24</v>
      </c>
      <c r="D48" s="5" t="s">
        <v>131</v>
      </c>
      <c r="E48" s="5" t="s">
        <v>37</v>
      </c>
      <c r="F48" s="5" t="s">
        <v>109</v>
      </c>
      <c r="G48" s="5" t="n">
        <f aca="false">LEN(TRIM(D48))-LEN(SUBSTITUTE(TRIM(D48)," ",""))+1</f>
        <v>32</v>
      </c>
      <c r="H48" s="5" t="str">
        <f aca="false">IF(G48&lt;40,"short",IF(G48&lt;100,"medium",IF(G48&lt;=200,"long","very long")))</f>
        <v>short</v>
      </c>
      <c r="I48" s="5" t="s">
        <v>28</v>
      </c>
    </row>
    <row r="49" customFormat="false" ht="68.65" hidden="false" customHeight="false" outlineLevel="0" collapsed="false">
      <c r="A49" s="5" t="s">
        <v>132</v>
      </c>
      <c r="B49" s="5" t="s">
        <v>23</v>
      </c>
      <c r="C49" s="5" t="s">
        <v>24</v>
      </c>
      <c r="D49" s="5" t="s">
        <v>133</v>
      </c>
      <c r="E49" s="5" t="s">
        <v>45</v>
      </c>
      <c r="F49" s="5" t="s">
        <v>109</v>
      </c>
      <c r="G49" s="5" t="n">
        <f aca="false">LEN(TRIM(D49))-LEN(SUBSTITUTE(TRIM(D49)," ",""))+1</f>
        <v>112</v>
      </c>
      <c r="H49" s="5" t="str">
        <f aca="false">IF(G49&lt;40,"short",IF(G49&lt;100,"medium",IF(G49&lt;=200,"long","very long")))</f>
        <v>long</v>
      </c>
      <c r="I49" s="5" t="s">
        <v>28</v>
      </c>
    </row>
    <row r="50" customFormat="false" ht="35.05" hidden="false" customHeight="false" outlineLevel="0" collapsed="false">
      <c r="A50" s="5" t="s">
        <v>134</v>
      </c>
      <c r="B50" s="5" t="s">
        <v>23</v>
      </c>
      <c r="C50" s="5" t="s">
        <v>24</v>
      </c>
      <c r="D50" s="5" t="s">
        <v>135</v>
      </c>
      <c r="E50" s="5" t="s">
        <v>53</v>
      </c>
      <c r="F50" s="5" t="s">
        <v>109</v>
      </c>
      <c r="G50" s="5" t="n">
        <f aca="false">LEN(TRIM(D50))-LEN(SUBSTITUTE(TRIM(D50)," ",""))+1</f>
        <v>67</v>
      </c>
      <c r="H50" s="5" t="str">
        <f aca="false">IF(G50&lt;40,"short",IF(G50&lt;100,"medium",IF(G50&lt;=200,"long","very long")))</f>
        <v>medium</v>
      </c>
      <c r="I50" s="5" t="s">
        <v>28</v>
      </c>
    </row>
    <row r="51" customFormat="false" ht="23.85" hidden="false" customHeight="false" outlineLevel="0" collapsed="false">
      <c r="A51" s="5" t="s">
        <v>136</v>
      </c>
      <c r="B51" s="5" t="s">
        <v>23</v>
      </c>
      <c r="C51" s="5" t="s">
        <v>24</v>
      </c>
      <c r="D51" s="5" t="s">
        <v>137</v>
      </c>
      <c r="E51" s="5" t="s">
        <v>66</v>
      </c>
      <c r="F51" s="5" t="s">
        <v>109</v>
      </c>
      <c r="G51" s="5" t="n">
        <f aca="false">LEN(TRIM(D51))-LEN(SUBSTITUTE(TRIM(D51)," ",""))+1</f>
        <v>37</v>
      </c>
      <c r="H51" s="5" t="str">
        <f aca="false">IF(G51&lt;40,"short",IF(G51&lt;100,"medium",IF(G51&lt;=200,"long","very long")))</f>
        <v>short</v>
      </c>
      <c r="I51" s="5" t="s">
        <v>28</v>
      </c>
    </row>
    <row r="52" customFormat="false" ht="35.05" hidden="false" customHeight="false" outlineLevel="0" collapsed="false">
      <c r="A52" s="5" t="s">
        <v>138</v>
      </c>
      <c r="B52" s="5" t="s">
        <v>23</v>
      </c>
      <c r="C52" s="5" t="s">
        <v>24</v>
      </c>
      <c r="D52" s="5" t="s">
        <v>139</v>
      </c>
      <c r="E52" s="5" t="s">
        <v>48</v>
      </c>
      <c r="F52" s="5" t="s">
        <v>140</v>
      </c>
      <c r="G52" s="5" t="n">
        <f aca="false">LEN(TRIM(D52))-LEN(SUBSTITUTE(TRIM(D52)," ",""))+1</f>
        <v>43</v>
      </c>
      <c r="H52" s="5" t="str">
        <f aca="false">IF(G52&lt;40,"short",IF(G52&lt;100,"medium",IF(G52&lt;=200,"long","very long")))</f>
        <v>medium</v>
      </c>
      <c r="I52" s="5" t="s">
        <v>28</v>
      </c>
    </row>
    <row r="53" customFormat="false" ht="23.85" hidden="false" customHeight="false" outlineLevel="0" collapsed="false">
      <c r="A53" s="5" t="s">
        <v>141</v>
      </c>
      <c r="B53" s="5" t="s">
        <v>23</v>
      </c>
      <c r="C53" s="5" t="s">
        <v>24</v>
      </c>
      <c r="D53" s="5" t="s">
        <v>142</v>
      </c>
      <c r="E53" s="5" t="s">
        <v>48</v>
      </c>
      <c r="F53" s="5" t="s">
        <v>140</v>
      </c>
      <c r="G53" s="5" t="n">
        <f aca="false">LEN(TRIM(D53))-LEN(SUBSTITUTE(TRIM(D53)," ",""))+1</f>
        <v>39</v>
      </c>
      <c r="H53" s="5" t="str">
        <f aca="false">IF(G53&lt;40,"short",IF(G53&lt;100,"medium",IF(G53&lt;=200,"long","very long")))</f>
        <v>short</v>
      </c>
      <c r="I53" s="5" t="s">
        <v>28</v>
      </c>
    </row>
    <row r="54" customFormat="false" ht="23.85" hidden="false" customHeight="false" outlineLevel="0" collapsed="false">
      <c r="A54" s="5" t="s">
        <v>143</v>
      </c>
      <c r="B54" s="5" t="s">
        <v>23</v>
      </c>
      <c r="C54" s="5" t="s">
        <v>24</v>
      </c>
      <c r="D54" s="5" t="s">
        <v>144</v>
      </c>
      <c r="E54" s="5" t="s">
        <v>34</v>
      </c>
      <c r="F54" s="5" t="s">
        <v>140</v>
      </c>
      <c r="G54" s="5" t="n">
        <f aca="false">LEN(TRIM(D54))-LEN(SUBSTITUTE(TRIM(D54)," ",""))+1</f>
        <v>25</v>
      </c>
      <c r="H54" s="5" t="str">
        <f aca="false">IF(G54&lt;40,"short",IF(G54&lt;100,"medium",IF(G54&lt;=200,"long","very long")))</f>
        <v>short</v>
      </c>
      <c r="I54" s="5" t="s">
        <v>28</v>
      </c>
    </row>
    <row r="55" customFormat="false" ht="23.85" hidden="false" customHeight="false" outlineLevel="0" collapsed="false">
      <c r="A55" s="5" t="s">
        <v>145</v>
      </c>
      <c r="B55" s="5" t="s">
        <v>23</v>
      </c>
      <c r="C55" s="5" t="s">
        <v>24</v>
      </c>
      <c r="D55" s="5" t="s">
        <v>146</v>
      </c>
      <c r="E55" s="5" t="s">
        <v>53</v>
      </c>
      <c r="F55" s="5" t="s">
        <v>140</v>
      </c>
      <c r="G55" s="5" t="n">
        <f aca="false">LEN(TRIM(D55))-LEN(SUBSTITUTE(TRIM(D55)," ",""))+1</f>
        <v>25</v>
      </c>
      <c r="H55" s="5" t="str">
        <f aca="false">IF(G55&lt;40,"short",IF(G55&lt;100,"medium",IF(G55&lt;=200,"long","very long")))</f>
        <v>short</v>
      </c>
      <c r="I55" s="5" t="s">
        <v>28</v>
      </c>
    </row>
    <row r="56" customFormat="false" ht="15" hidden="false" customHeight="false" outlineLevel="0" collapsed="false">
      <c r="A56" s="5" t="s">
        <v>147</v>
      </c>
      <c r="B56" s="5" t="s">
        <v>23</v>
      </c>
      <c r="C56" s="5" t="s">
        <v>24</v>
      </c>
      <c r="D56" s="5" t="s">
        <v>148</v>
      </c>
      <c r="E56" s="5" t="s">
        <v>26</v>
      </c>
      <c r="F56" s="5" t="s">
        <v>140</v>
      </c>
      <c r="G56" s="5" t="n">
        <f aca="false">LEN(TRIM(D56))-LEN(SUBSTITUTE(TRIM(D56)," ",""))+1</f>
        <v>13</v>
      </c>
      <c r="H56" s="5" t="str">
        <f aca="false">IF(G56&lt;40,"short",IF(G56&lt;100,"medium",IF(G56&lt;=200,"long","very long")))</f>
        <v>short</v>
      </c>
      <c r="I56" s="5" t="s">
        <v>28</v>
      </c>
    </row>
    <row r="57" customFormat="false" ht="23.85" hidden="false" customHeight="false" outlineLevel="0" collapsed="false">
      <c r="A57" s="5" t="s">
        <v>149</v>
      </c>
      <c r="B57" s="5" t="s">
        <v>23</v>
      </c>
      <c r="C57" s="5" t="s">
        <v>24</v>
      </c>
      <c r="D57" s="5" t="s">
        <v>150</v>
      </c>
      <c r="E57" s="5" t="s">
        <v>42</v>
      </c>
      <c r="F57" s="5" t="s">
        <v>140</v>
      </c>
      <c r="G57" s="5" t="n">
        <f aca="false">LEN(TRIM(D57))-LEN(SUBSTITUTE(TRIM(D57)," ",""))+1</f>
        <v>42</v>
      </c>
      <c r="H57" s="5" t="str">
        <f aca="false">IF(G57&lt;40,"short",IF(G57&lt;100,"medium",IF(G57&lt;=200,"long","very long")))</f>
        <v>medium</v>
      </c>
      <c r="I57" s="5" t="s">
        <v>28</v>
      </c>
    </row>
    <row r="58" customFormat="false" ht="23.85" hidden="false" customHeight="false" outlineLevel="0" collapsed="false">
      <c r="A58" s="5" t="s">
        <v>151</v>
      </c>
      <c r="B58" s="5" t="s">
        <v>23</v>
      </c>
      <c r="C58" s="5" t="s">
        <v>24</v>
      </c>
      <c r="D58" s="5" t="s">
        <v>152</v>
      </c>
      <c r="E58" s="5" t="s">
        <v>66</v>
      </c>
      <c r="F58" s="5" t="s">
        <v>140</v>
      </c>
      <c r="G58" s="5" t="n">
        <f aca="false">LEN(TRIM(D58))-LEN(SUBSTITUTE(TRIM(D58)," ",""))+1</f>
        <v>37</v>
      </c>
      <c r="H58" s="5" t="str">
        <f aca="false">IF(G58&lt;40,"short",IF(G58&lt;100,"medium",IF(G58&lt;=200,"long","very long")))</f>
        <v>short</v>
      </c>
      <c r="I58" s="5" t="s">
        <v>28</v>
      </c>
    </row>
    <row r="59" customFormat="false" ht="23.85" hidden="false" customHeight="false" outlineLevel="0" collapsed="false">
      <c r="A59" s="5" t="s">
        <v>153</v>
      </c>
      <c r="B59" s="5" t="s">
        <v>23</v>
      </c>
      <c r="C59" s="5" t="s">
        <v>24</v>
      </c>
      <c r="D59" s="5" t="s">
        <v>154</v>
      </c>
      <c r="E59" s="5" t="s">
        <v>26</v>
      </c>
      <c r="F59" s="5" t="s">
        <v>140</v>
      </c>
      <c r="G59" s="5" t="n">
        <f aca="false">LEN(TRIM(D59))-LEN(SUBSTITUTE(TRIM(D59)," ",""))+1</f>
        <v>43</v>
      </c>
      <c r="H59" s="5" t="str">
        <f aca="false">IF(G59&lt;40,"short",IF(G59&lt;100,"medium",IF(G59&lt;=200,"long","very long")))</f>
        <v>medium</v>
      </c>
      <c r="I59" s="5" t="s">
        <v>28</v>
      </c>
    </row>
    <row r="60" customFormat="false" ht="23.85" hidden="false" customHeight="false" outlineLevel="0" collapsed="false">
      <c r="A60" s="5" t="s">
        <v>155</v>
      </c>
      <c r="B60" s="5" t="s">
        <v>23</v>
      </c>
      <c r="C60" s="5" t="s">
        <v>24</v>
      </c>
      <c r="D60" s="5" t="s">
        <v>156</v>
      </c>
      <c r="E60" s="5" t="s">
        <v>48</v>
      </c>
      <c r="F60" s="5" t="s">
        <v>140</v>
      </c>
      <c r="G60" s="5" t="n">
        <f aca="false">LEN(TRIM(D60))-LEN(SUBSTITUTE(TRIM(D60)," ",""))+1</f>
        <v>34</v>
      </c>
      <c r="H60" s="5" t="str">
        <f aca="false">IF(G60&lt;40,"short",IF(G60&lt;100,"medium",IF(G60&lt;=200,"long","very long")))</f>
        <v>short</v>
      </c>
      <c r="I60" s="5" t="s">
        <v>28</v>
      </c>
    </row>
    <row r="61" customFormat="false" ht="23.85" hidden="false" customHeight="false" outlineLevel="0" collapsed="false">
      <c r="A61" s="5" t="s">
        <v>157</v>
      </c>
      <c r="B61" s="5" t="s">
        <v>23</v>
      </c>
      <c r="C61" s="5" t="s">
        <v>24</v>
      </c>
      <c r="D61" s="5" t="s">
        <v>158</v>
      </c>
      <c r="E61" s="5" t="s">
        <v>53</v>
      </c>
      <c r="F61" s="5" t="s">
        <v>140</v>
      </c>
      <c r="G61" s="5" t="n">
        <f aca="false">LEN(TRIM(D61))-LEN(SUBSTITUTE(TRIM(D61)," ",""))+1</f>
        <v>21</v>
      </c>
      <c r="H61" s="5" t="str">
        <f aca="false">IF(G61&lt;40,"short",IF(G61&lt;100,"medium",IF(G61&lt;=200,"long","very long")))</f>
        <v>short</v>
      </c>
      <c r="I61" s="5" t="s">
        <v>28</v>
      </c>
    </row>
    <row r="62" customFormat="false" ht="15" hidden="false" customHeight="false" outlineLevel="0" collapsed="false">
      <c r="A62" s="5" t="s">
        <v>159</v>
      </c>
      <c r="B62" s="5" t="s">
        <v>23</v>
      </c>
      <c r="C62" s="5" t="s">
        <v>24</v>
      </c>
      <c r="D62" s="5" t="s">
        <v>160</v>
      </c>
      <c r="E62" s="5" t="s">
        <v>31</v>
      </c>
      <c r="F62" s="5" t="s">
        <v>140</v>
      </c>
      <c r="G62" s="5" t="n">
        <f aca="false">LEN(TRIM(D62))-LEN(SUBSTITUTE(TRIM(D62)," ",""))+1</f>
        <v>13</v>
      </c>
      <c r="H62" s="5" t="str">
        <f aca="false">IF(G62&lt;40,"short",IF(G62&lt;100,"medium",IF(G62&lt;=200,"long","very long")))</f>
        <v>short</v>
      </c>
      <c r="I62" s="5" t="s">
        <v>28</v>
      </c>
    </row>
    <row r="63" customFormat="false" ht="23.85" hidden="false" customHeight="false" outlineLevel="0" collapsed="false">
      <c r="A63" s="5" t="s">
        <v>161</v>
      </c>
      <c r="B63" s="5" t="s">
        <v>23</v>
      </c>
      <c r="C63" s="5" t="s">
        <v>24</v>
      </c>
      <c r="D63" s="5" t="s">
        <v>162</v>
      </c>
      <c r="E63" s="5" t="s">
        <v>37</v>
      </c>
      <c r="F63" s="5" t="s">
        <v>140</v>
      </c>
      <c r="G63" s="5" t="n">
        <f aca="false">LEN(TRIM(D63))-LEN(SUBSTITUTE(TRIM(D63)," ",""))+1</f>
        <v>29</v>
      </c>
      <c r="H63" s="5" t="str">
        <f aca="false">IF(G63&lt;40,"short",IF(G63&lt;100,"medium",IF(G63&lt;=200,"long","very long")))</f>
        <v>short</v>
      </c>
      <c r="I63" s="5" t="s">
        <v>28</v>
      </c>
    </row>
    <row r="64" customFormat="false" ht="15" hidden="false" customHeight="false" outlineLevel="0" collapsed="false">
      <c r="A64" s="5" t="s">
        <v>163</v>
      </c>
      <c r="B64" s="5" t="s">
        <v>23</v>
      </c>
      <c r="C64" s="5" t="s">
        <v>24</v>
      </c>
      <c r="D64" s="5" t="s">
        <v>164</v>
      </c>
      <c r="E64" s="5" t="s">
        <v>79</v>
      </c>
      <c r="F64" s="5" t="s">
        <v>140</v>
      </c>
      <c r="G64" s="5" t="n">
        <f aca="false">LEN(TRIM(D64))-LEN(SUBSTITUTE(TRIM(D64)," ",""))+1</f>
        <v>16</v>
      </c>
      <c r="H64" s="5" t="str">
        <f aca="false">IF(G64&lt;40,"short",IF(G64&lt;100,"medium",IF(G64&lt;=200,"long","very long")))</f>
        <v>short</v>
      </c>
      <c r="I64" s="5" t="s">
        <v>28</v>
      </c>
    </row>
    <row r="65" customFormat="false" ht="23.85" hidden="false" customHeight="false" outlineLevel="0" collapsed="false">
      <c r="A65" s="5" t="s">
        <v>165</v>
      </c>
      <c r="B65" s="5" t="s">
        <v>23</v>
      </c>
      <c r="C65" s="5" t="s">
        <v>24</v>
      </c>
      <c r="D65" s="5" t="s">
        <v>166</v>
      </c>
      <c r="E65" s="5" t="s">
        <v>42</v>
      </c>
      <c r="F65" s="5" t="s">
        <v>140</v>
      </c>
      <c r="G65" s="5" t="n">
        <f aca="false">LEN(TRIM(D65))-LEN(SUBSTITUTE(TRIM(D65)," ",""))+1</f>
        <v>44</v>
      </c>
      <c r="H65" s="5" t="str">
        <f aca="false">IF(G65&lt;40,"short",IF(G65&lt;100,"medium",IF(G65&lt;=200,"long","very long")))</f>
        <v>medium</v>
      </c>
      <c r="I65" s="5" t="s">
        <v>28</v>
      </c>
    </row>
    <row r="66" customFormat="false" ht="15" hidden="false" customHeight="false" outlineLevel="0" collapsed="false">
      <c r="A66" s="5" t="s">
        <v>167</v>
      </c>
      <c r="B66" s="5" t="s">
        <v>23</v>
      </c>
      <c r="C66" s="5" t="s">
        <v>24</v>
      </c>
      <c r="D66" s="5" t="s">
        <v>168</v>
      </c>
      <c r="E66" s="5" t="s">
        <v>34</v>
      </c>
      <c r="F66" s="5" t="s">
        <v>140</v>
      </c>
      <c r="G66" s="5" t="n">
        <f aca="false">LEN(TRIM(D66))-LEN(SUBSTITUTE(TRIM(D66)," ",""))+1</f>
        <v>19</v>
      </c>
      <c r="H66" s="5" t="str">
        <f aca="false">IF(G66&lt;40,"short",IF(G66&lt;100,"medium",IF(G66&lt;=200,"long","very long")))</f>
        <v>short</v>
      </c>
      <c r="I66" s="5" t="s">
        <v>28</v>
      </c>
    </row>
    <row r="67" customFormat="false" ht="113.4" hidden="false" customHeight="false" outlineLevel="0" collapsed="false">
      <c r="A67" s="5" t="s">
        <v>169</v>
      </c>
      <c r="B67" s="5" t="s">
        <v>23</v>
      </c>
      <c r="C67" s="5" t="s">
        <v>24</v>
      </c>
      <c r="D67" s="5" t="s">
        <v>170</v>
      </c>
      <c r="E67" s="5" t="s">
        <v>171</v>
      </c>
      <c r="F67" s="5" t="s">
        <v>172</v>
      </c>
      <c r="G67" s="5" t="n">
        <f aca="false">LEN(TRIM(D67))-LEN(SUBSTITUTE(TRIM(D67)," ",""))+1</f>
        <v>220</v>
      </c>
      <c r="H67" s="5" t="str">
        <f aca="false">IF(G67&lt;40,"short",IF(G67&lt;100,"medium",IF(G67&lt;=200,"long","very long")))</f>
        <v>very long</v>
      </c>
      <c r="I67" s="5" t="s">
        <v>28</v>
      </c>
    </row>
    <row r="68" customFormat="false" ht="68.65" hidden="false" customHeight="false" outlineLevel="0" collapsed="false">
      <c r="A68" s="5" t="s">
        <v>173</v>
      </c>
      <c r="B68" s="5" t="s">
        <v>23</v>
      </c>
      <c r="C68" s="5" t="s">
        <v>24</v>
      </c>
      <c r="D68" s="5" t="s">
        <v>174</v>
      </c>
      <c r="E68" s="5" t="s">
        <v>175</v>
      </c>
      <c r="F68" s="5" t="s">
        <v>172</v>
      </c>
      <c r="G68" s="5" t="n">
        <f aca="false">LEN(TRIM(D68))-LEN(SUBSTITUTE(TRIM(D68)," ",""))+1</f>
        <v>128</v>
      </c>
      <c r="H68" s="5" t="str">
        <f aca="false">IF(G68&lt;40,"short",IF(G68&lt;100,"medium",IF(G68&lt;=200,"long","very long")))</f>
        <v>long</v>
      </c>
      <c r="I68" s="5" t="s">
        <v>28</v>
      </c>
    </row>
    <row r="69" customFormat="false" ht="68.65" hidden="false" customHeight="false" outlineLevel="0" collapsed="false">
      <c r="A69" s="5" t="s">
        <v>176</v>
      </c>
      <c r="B69" s="5" t="s">
        <v>23</v>
      </c>
      <c r="C69" s="5" t="s">
        <v>24</v>
      </c>
      <c r="D69" s="5" t="s">
        <v>177</v>
      </c>
      <c r="E69" s="5" t="s">
        <v>178</v>
      </c>
      <c r="F69" s="5" t="s">
        <v>172</v>
      </c>
      <c r="G69" s="5" t="n">
        <f aca="false">LEN(TRIM(D69))-LEN(SUBSTITUTE(TRIM(D69)," ",""))+1</f>
        <v>119</v>
      </c>
      <c r="H69" s="5" t="str">
        <f aca="false">IF(G69&lt;40,"short",IF(G69&lt;100,"medium",IF(G69&lt;=200,"long","very long")))</f>
        <v>long</v>
      </c>
      <c r="I69" s="5" t="s">
        <v>28</v>
      </c>
    </row>
    <row r="70" customFormat="false" ht="35.05" hidden="false" customHeight="false" outlineLevel="0" collapsed="false">
      <c r="A70" s="5" t="s">
        <v>179</v>
      </c>
      <c r="B70" s="5" t="s">
        <v>23</v>
      </c>
      <c r="C70" s="5" t="s">
        <v>24</v>
      </c>
      <c r="D70" s="5" t="s">
        <v>180</v>
      </c>
      <c r="E70" s="5" t="s">
        <v>181</v>
      </c>
      <c r="F70" s="5" t="s">
        <v>172</v>
      </c>
      <c r="G70" s="5" t="n">
        <f aca="false">LEN(TRIM(D70))-LEN(SUBSTITUTE(TRIM(D70)," ",""))+1</f>
        <v>57</v>
      </c>
      <c r="H70" s="5" t="str">
        <f aca="false">IF(G70&lt;40,"short",IF(G70&lt;100,"medium",IF(G70&lt;=200,"long","very long")))</f>
        <v>medium</v>
      </c>
      <c r="I70" s="5" t="s">
        <v>28</v>
      </c>
    </row>
    <row r="71" customFormat="false" ht="35.05" hidden="false" customHeight="false" outlineLevel="0" collapsed="false">
      <c r="A71" s="5" t="s">
        <v>182</v>
      </c>
      <c r="B71" s="5" t="s">
        <v>23</v>
      </c>
      <c r="C71" s="5" t="s">
        <v>24</v>
      </c>
      <c r="D71" s="5" t="s">
        <v>183</v>
      </c>
      <c r="E71" s="5" t="s">
        <v>184</v>
      </c>
      <c r="F71" s="5" t="s">
        <v>172</v>
      </c>
      <c r="G71" s="5" t="n">
        <f aca="false">LEN(TRIM(D71))-LEN(SUBSTITUTE(TRIM(D71)," ",""))+1</f>
        <v>48</v>
      </c>
      <c r="H71" s="5" t="str">
        <f aca="false">IF(G71&lt;40,"short",IF(G71&lt;100,"medium",IF(G71&lt;=200,"long","very long")))</f>
        <v>medium</v>
      </c>
      <c r="I71" s="5" t="s">
        <v>28</v>
      </c>
    </row>
    <row r="72" customFormat="false" ht="57.45" hidden="false" customHeight="false" outlineLevel="0" collapsed="false">
      <c r="A72" s="5" t="s">
        <v>185</v>
      </c>
      <c r="B72" s="5" t="s">
        <v>23</v>
      </c>
      <c r="C72" s="5" t="s">
        <v>24</v>
      </c>
      <c r="D72" s="5" t="s">
        <v>186</v>
      </c>
      <c r="E72" s="5" t="s">
        <v>171</v>
      </c>
      <c r="F72" s="5" t="s">
        <v>172</v>
      </c>
      <c r="G72" s="5" t="n">
        <f aca="false">LEN(TRIM(D72))-LEN(SUBSTITUTE(TRIM(D72)," ",""))+1</f>
        <v>99</v>
      </c>
      <c r="H72" s="5" t="str">
        <f aca="false">IF(G72&lt;40,"short",IF(G72&lt;100,"medium",IF(G72&lt;=200,"long","very long")))</f>
        <v>medium</v>
      </c>
      <c r="I72" s="5" t="s">
        <v>28</v>
      </c>
    </row>
    <row r="73" customFormat="false" ht="23.85" hidden="false" customHeight="false" outlineLevel="0" collapsed="false">
      <c r="A73" s="5" t="s">
        <v>187</v>
      </c>
      <c r="B73" s="5" t="s">
        <v>23</v>
      </c>
      <c r="C73" s="5" t="s">
        <v>24</v>
      </c>
      <c r="D73" s="5" t="s">
        <v>188</v>
      </c>
      <c r="E73" s="5" t="s">
        <v>189</v>
      </c>
      <c r="F73" s="5" t="s">
        <v>172</v>
      </c>
      <c r="G73" s="5" t="n">
        <f aca="false">LEN(TRIM(D73))-LEN(SUBSTITUTE(TRIM(D73)," ",""))+1</f>
        <v>44</v>
      </c>
      <c r="H73" s="5" t="str">
        <f aca="false">IF(G73&lt;40,"short",IF(G73&lt;100,"medium",IF(G73&lt;=200,"long","very long")))</f>
        <v>medium</v>
      </c>
      <c r="I73" s="5" t="s">
        <v>28</v>
      </c>
    </row>
    <row r="74" customFormat="false" ht="46.25" hidden="false" customHeight="false" outlineLevel="0" collapsed="false">
      <c r="A74" s="5" t="s">
        <v>190</v>
      </c>
      <c r="B74" s="5" t="s">
        <v>23</v>
      </c>
      <c r="C74" s="5" t="s">
        <v>24</v>
      </c>
      <c r="D74" s="5" t="s">
        <v>191</v>
      </c>
      <c r="E74" s="5" t="s">
        <v>192</v>
      </c>
      <c r="F74" s="5" t="s">
        <v>172</v>
      </c>
      <c r="G74" s="5" t="n">
        <f aca="false">LEN(TRIM(D74))-LEN(SUBSTITUTE(TRIM(D74)," ",""))+1</f>
        <v>92</v>
      </c>
      <c r="H74" s="5" t="str">
        <f aca="false">IF(G74&lt;40,"short",IF(G74&lt;100,"medium",IF(G74&lt;=200,"long","very long")))</f>
        <v>medium</v>
      </c>
      <c r="I74" s="5" t="s">
        <v>28</v>
      </c>
    </row>
    <row r="75" customFormat="false" ht="68.65" hidden="false" customHeight="false" outlineLevel="0" collapsed="false">
      <c r="A75" s="5" t="s">
        <v>193</v>
      </c>
      <c r="B75" s="5" t="s">
        <v>23</v>
      </c>
      <c r="C75" s="5" t="s">
        <v>24</v>
      </c>
      <c r="D75" s="5" t="s">
        <v>194</v>
      </c>
      <c r="E75" s="5" t="s">
        <v>195</v>
      </c>
      <c r="F75" s="5" t="s">
        <v>172</v>
      </c>
      <c r="G75" s="5" t="n">
        <f aca="false">LEN(TRIM(D75))-LEN(SUBSTITUTE(TRIM(D75)," ",""))+1</f>
        <v>121</v>
      </c>
      <c r="H75" s="5" t="str">
        <f aca="false">IF(G75&lt;40,"short",IF(G75&lt;100,"medium",IF(G75&lt;=200,"long","very long")))</f>
        <v>long</v>
      </c>
      <c r="I75" s="5" t="s">
        <v>28</v>
      </c>
    </row>
    <row r="76" customFormat="false" ht="23.85" hidden="false" customHeight="false" outlineLevel="0" collapsed="false">
      <c r="A76" s="5" t="s">
        <v>196</v>
      </c>
      <c r="B76" s="5" t="s">
        <v>23</v>
      </c>
      <c r="C76" s="5" t="s">
        <v>24</v>
      </c>
      <c r="D76" s="5" t="s">
        <v>197</v>
      </c>
      <c r="E76" s="5" t="s">
        <v>198</v>
      </c>
      <c r="F76" s="5" t="s">
        <v>172</v>
      </c>
      <c r="G76" s="5" t="n">
        <f aca="false">LEN(TRIM(D76))-LEN(SUBSTITUTE(TRIM(D76)," ",""))+1</f>
        <v>39</v>
      </c>
      <c r="H76" s="5" t="str">
        <f aca="false">IF(G76&lt;40,"short",IF(G76&lt;100,"medium",IF(G76&lt;=200,"long","very long")))</f>
        <v>short</v>
      </c>
      <c r="I76" s="5" t="s">
        <v>28</v>
      </c>
    </row>
    <row r="77" customFormat="false" ht="68.65" hidden="false" customHeight="false" outlineLevel="0" collapsed="false">
      <c r="A77" s="5" t="s">
        <v>199</v>
      </c>
      <c r="B77" s="5" t="s">
        <v>23</v>
      </c>
      <c r="C77" s="5" t="s">
        <v>24</v>
      </c>
      <c r="D77" s="5" t="s">
        <v>200</v>
      </c>
      <c r="E77" s="5" t="s">
        <v>201</v>
      </c>
      <c r="F77" s="5" t="s">
        <v>172</v>
      </c>
      <c r="G77" s="5" t="n">
        <f aca="false">LEN(TRIM(D77))-LEN(SUBSTITUTE(TRIM(D77)," ",""))+1</f>
        <v>116</v>
      </c>
      <c r="H77" s="5" t="str">
        <f aca="false">IF(G77&lt;40,"short",IF(G77&lt;100,"medium",IF(G77&lt;=200,"long","very long")))</f>
        <v>long</v>
      </c>
      <c r="I77" s="5" t="s">
        <v>28</v>
      </c>
    </row>
    <row r="78" customFormat="false" ht="113.4" hidden="false" customHeight="false" outlineLevel="0" collapsed="false">
      <c r="A78" s="5" t="s">
        <v>202</v>
      </c>
      <c r="B78" s="5" t="s">
        <v>23</v>
      </c>
      <c r="C78" s="5" t="s">
        <v>24</v>
      </c>
      <c r="D78" s="5" t="s">
        <v>203</v>
      </c>
      <c r="E78" s="5" t="s">
        <v>204</v>
      </c>
      <c r="F78" s="5" t="s">
        <v>172</v>
      </c>
      <c r="G78" s="5" t="n">
        <f aca="false">LEN(TRIM(D78))-LEN(SUBSTITUTE(TRIM(D78)," ",""))+1</f>
        <v>210</v>
      </c>
      <c r="H78" s="5" t="str">
        <f aca="false">IF(G78&lt;40,"short",IF(G78&lt;100,"medium",IF(G78&lt;=200,"long","very long")))</f>
        <v>very long</v>
      </c>
      <c r="I78" s="5" t="s">
        <v>28</v>
      </c>
    </row>
    <row r="79" customFormat="false" ht="35.05" hidden="false" customHeight="false" outlineLevel="0" collapsed="false">
      <c r="A79" s="5" t="s">
        <v>205</v>
      </c>
      <c r="B79" s="5" t="s">
        <v>23</v>
      </c>
      <c r="C79" s="5" t="s">
        <v>24</v>
      </c>
      <c r="D79" s="5" t="s">
        <v>206</v>
      </c>
      <c r="E79" s="5" t="s">
        <v>171</v>
      </c>
      <c r="F79" s="5" t="s">
        <v>172</v>
      </c>
      <c r="G79" s="5" t="n">
        <f aca="false">LEN(TRIM(D79))-LEN(SUBSTITUTE(TRIM(D79)," ",""))+1</f>
        <v>48</v>
      </c>
      <c r="H79" s="5" t="str">
        <f aca="false">IF(G79&lt;40,"short",IF(G79&lt;100,"medium",IF(G79&lt;=200,"long","very long")))</f>
        <v>medium</v>
      </c>
      <c r="I79" s="5" t="s">
        <v>28</v>
      </c>
    </row>
    <row r="80" customFormat="false" ht="35.05" hidden="false" customHeight="false" outlineLevel="0" collapsed="false">
      <c r="A80" s="5" t="s">
        <v>207</v>
      </c>
      <c r="B80" s="5" t="s">
        <v>23</v>
      </c>
      <c r="C80" s="5" t="s">
        <v>24</v>
      </c>
      <c r="D80" s="5" t="s">
        <v>208</v>
      </c>
      <c r="E80" s="5" t="s">
        <v>209</v>
      </c>
      <c r="F80" s="5" t="s">
        <v>172</v>
      </c>
      <c r="G80" s="5" t="n">
        <f aca="false">LEN(TRIM(D80))-LEN(SUBSTITUTE(TRIM(D80)," ",""))+1</f>
        <v>48</v>
      </c>
      <c r="H80" s="5" t="str">
        <f aca="false">IF(G80&lt;40,"short",IF(G80&lt;100,"medium",IF(G80&lt;=200,"long","very long")))</f>
        <v>medium</v>
      </c>
      <c r="I80" s="5" t="s">
        <v>28</v>
      </c>
    </row>
    <row r="81" customFormat="false" ht="35.05" hidden="false" customHeight="false" outlineLevel="0" collapsed="false">
      <c r="A81" s="5" t="s">
        <v>210</v>
      </c>
      <c r="B81" s="5" t="s">
        <v>23</v>
      </c>
      <c r="C81" s="5" t="s">
        <v>24</v>
      </c>
      <c r="D81" s="5" t="s">
        <v>211</v>
      </c>
      <c r="E81" s="5" t="s">
        <v>212</v>
      </c>
      <c r="F81" s="5" t="s">
        <v>172</v>
      </c>
      <c r="G81" s="5" t="n">
        <f aca="false">LEN(TRIM(D81))-LEN(SUBSTITUTE(TRIM(D81)," ",""))+1</f>
        <v>46</v>
      </c>
      <c r="H81" s="5" t="str">
        <f aca="false">IF(G81&lt;40,"short",IF(G81&lt;100,"medium",IF(G81&lt;=200,"long","very long")))</f>
        <v>medium</v>
      </c>
      <c r="I81" s="5" t="s">
        <v>28</v>
      </c>
    </row>
    <row r="82" customFormat="false" ht="46.25" hidden="false" customHeight="false" outlineLevel="0" collapsed="false">
      <c r="A82" s="5" t="s">
        <v>213</v>
      </c>
      <c r="B82" s="5" t="s">
        <v>23</v>
      </c>
      <c r="C82" s="5" t="s">
        <v>24</v>
      </c>
      <c r="D82" s="5" t="s">
        <v>214</v>
      </c>
      <c r="E82" s="5" t="s">
        <v>178</v>
      </c>
      <c r="F82" s="5" t="s">
        <v>172</v>
      </c>
      <c r="G82" s="5" t="n">
        <f aca="false">LEN(TRIM(D82))-LEN(SUBSTITUTE(TRIM(D82)," ",""))+1</f>
        <v>77</v>
      </c>
      <c r="H82" s="5" t="str">
        <f aca="false">IF(G82&lt;40,"short",IF(G82&lt;100,"medium",IF(G82&lt;=200,"long","very long")))</f>
        <v>medium</v>
      </c>
      <c r="I82" s="5" t="s">
        <v>28</v>
      </c>
    </row>
    <row r="83" customFormat="false" ht="35.05" hidden="false" customHeight="false" outlineLevel="0" collapsed="false">
      <c r="A83" s="5" t="s">
        <v>215</v>
      </c>
      <c r="B83" s="5" t="s">
        <v>23</v>
      </c>
      <c r="C83" s="5" t="s">
        <v>24</v>
      </c>
      <c r="D83" s="5" t="s">
        <v>216</v>
      </c>
      <c r="E83" s="5" t="s">
        <v>171</v>
      </c>
      <c r="F83" s="5" t="s">
        <v>172</v>
      </c>
      <c r="G83" s="5" t="n">
        <f aca="false">LEN(TRIM(D83))-LEN(SUBSTITUTE(TRIM(D83)," ",""))+1</f>
        <v>60</v>
      </c>
      <c r="H83" s="5" t="str">
        <f aca="false">IF(G83&lt;40,"short",IF(G83&lt;100,"medium",IF(G83&lt;=200,"long","very long")))</f>
        <v>medium</v>
      </c>
      <c r="I83" s="5" t="s">
        <v>28</v>
      </c>
    </row>
    <row r="84" customFormat="false" ht="57.45" hidden="false" customHeight="false" outlineLevel="0" collapsed="false">
      <c r="A84" s="5" t="s">
        <v>217</v>
      </c>
      <c r="B84" s="5" t="s">
        <v>23</v>
      </c>
      <c r="C84" s="5" t="s">
        <v>24</v>
      </c>
      <c r="D84" s="5" t="s">
        <v>218</v>
      </c>
      <c r="E84" s="5" t="s">
        <v>175</v>
      </c>
      <c r="F84" s="5" t="s">
        <v>172</v>
      </c>
      <c r="G84" s="5" t="n">
        <f aca="false">LEN(TRIM(D84))-LEN(SUBSTITUTE(TRIM(D84)," ",""))+1</f>
        <v>109</v>
      </c>
      <c r="H84" s="5" t="str">
        <f aca="false">IF(G84&lt;40,"short",IF(G84&lt;100,"medium",IF(G84&lt;=200,"long","very long")))</f>
        <v>long</v>
      </c>
      <c r="I84" s="5" t="s">
        <v>28</v>
      </c>
    </row>
    <row r="85" customFormat="false" ht="23.85" hidden="false" customHeight="false" outlineLevel="0" collapsed="false">
      <c r="A85" s="5" t="s">
        <v>219</v>
      </c>
      <c r="B85" s="5" t="s">
        <v>23</v>
      </c>
      <c r="C85" s="5" t="s">
        <v>24</v>
      </c>
      <c r="D85" s="5" t="s">
        <v>220</v>
      </c>
      <c r="E85" s="5" t="s">
        <v>221</v>
      </c>
      <c r="F85" s="5" t="s">
        <v>172</v>
      </c>
      <c r="G85" s="5" t="n">
        <f aca="false">LEN(TRIM(D85))-LEN(SUBSTITUTE(TRIM(D85)," ",""))+1</f>
        <v>42</v>
      </c>
      <c r="H85" s="5" t="str">
        <f aca="false">IF(G85&lt;40,"short",IF(G85&lt;100,"medium",IF(G85&lt;=200,"long","very long")))</f>
        <v>medium</v>
      </c>
      <c r="I85" s="5" t="s">
        <v>28</v>
      </c>
    </row>
    <row r="86" customFormat="false" ht="35.05" hidden="false" customHeight="false" outlineLevel="0" collapsed="false">
      <c r="A86" s="5" t="s">
        <v>222</v>
      </c>
      <c r="B86" s="5" t="s">
        <v>23</v>
      </c>
      <c r="C86" s="5" t="s">
        <v>24</v>
      </c>
      <c r="D86" s="5" t="s">
        <v>223</v>
      </c>
      <c r="E86" s="5" t="s">
        <v>224</v>
      </c>
      <c r="F86" s="5" t="s">
        <v>172</v>
      </c>
      <c r="G86" s="5" t="n">
        <f aca="false">LEN(TRIM(D86))-LEN(SUBSTITUTE(TRIM(D86)," ",""))+1</f>
        <v>54</v>
      </c>
      <c r="H86" s="5" t="str">
        <f aca="false">IF(G86&lt;40,"short",IF(G86&lt;100,"medium",IF(G86&lt;=200,"long","very long")))</f>
        <v>medium</v>
      </c>
      <c r="I86" s="5" t="s">
        <v>28</v>
      </c>
    </row>
    <row r="87" customFormat="false" ht="35.05" hidden="false" customHeight="false" outlineLevel="0" collapsed="false">
      <c r="A87" s="5" t="s">
        <v>225</v>
      </c>
      <c r="B87" s="5" t="s">
        <v>23</v>
      </c>
      <c r="C87" s="5" t="s">
        <v>24</v>
      </c>
      <c r="D87" s="5" t="s">
        <v>226</v>
      </c>
      <c r="E87" s="5" t="s">
        <v>171</v>
      </c>
      <c r="F87" s="5" t="s">
        <v>227</v>
      </c>
      <c r="G87" s="5" t="n">
        <f aca="false">LEN(TRIM(D87))-LEN(SUBSTITUTE(TRIM(D87)," ",""))+1</f>
        <v>45</v>
      </c>
      <c r="H87" s="5" t="str">
        <f aca="false">IF(G87&lt;40,"short",IF(G87&lt;100,"medium",IF(G87&lt;=200,"long","very long")))</f>
        <v>medium</v>
      </c>
      <c r="I87" s="5" t="s">
        <v>28</v>
      </c>
    </row>
    <row r="88" customFormat="false" ht="23.85" hidden="false" customHeight="false" outlineLevel="0" collapsed="false">
      <c r="A88" s="5" t="s">
        <v>228</v>
      </c>
      <c r="B88" s="5" t="s">
        <v>23</v>
      </c>
      <c r="C88" s="5" t="s">
        <v>24</v>
      </c>
      <c r="D88" s="5" t="s">
        <v>229</v>
      </c>
      <c r="E88" s="5" t="s">
        <v>175</v>
      </c>
      <c r="F88" s="5" t="s">
        <v>227</v>
      </c>
      <c r="G88" s="5" t="n">
        <f aca="false">LEN(TRIM(D88))-LEN(SUBSTITUTE(TRIM(D88)," ",""))+1</f>
        <v>36</v>
      </c>
      <c r="H88" s="5" t="str">
        <f aca="false">IF(G88&lt;40,"short",IF(G88&lt;100,"medium",IF(G88&lt;=200,"long","very long")))</f>
        <v>short</v>
      </c>
      <c r="I88" s="5" t="s">
        <v>28</v>
      </c>
    </row>
    <row r="89" customFormat="false" ht="23.85" hidden="false" customHeight="false" outlineLevel="0" collapsed="false">
      <c r="A89" s="5" t="s">
        <v>230</v>
      </c>
      <c r="B89" s="5" t="s">
        <v>23</v>
      </c>
      <c r="C89" s="5" t="s">
        <v>24</v>
      </c>
      <c r="D89" s="5" t="s">
        <v>231</v>
      </c>
      <c r="E89" s="5" t="s">
        <v>171</v>
      </c>
      <c r="F89" s="5" t="s">
        <v>227</v>
      </c>
      <c r="G89" s="5" t="n">
        <f aca="false">LEN(TRIM(D89))-LEN(SUBSTITUTE(TRIM(D89)," ",""))+1</f>
        <v>35</v>
      </c>
      <c r="H89" s="5" t="str">
        <f aca="false">IF(G89&lt;40,"short",IF(G89&lt;100,"medium",IF(G89&lt;=200,"long","very long")))</f>
        <v>short</v>
      </c>
      <c r="I89" s="5" t="s">
        <v>28</v>
      </c>
    </row>
    <row r="90" customFormat="false" ht="35.05" hidden="false" customHeight="false" outlineLevel="0" collapsed="false">
      <c r="A90" s="5" t="s">
        <v>232</v>
      </c>
      <c r="B90" s="5" t="s">
        <v>23</v>
      </c>
      <c r="C90" s="5" t="s">
        <v>24</v>
      </c>
      <c r="D90" s="5" t="s">
        <v>233</v>
      </c>
      <c r="E90" s="5" t="s">
        <v>234</v>
      </c>
      <c r="F90" s="5" t="s">
        <v>227</v>
      </c>
      <c r="G90" s="5" t="n">
        <f aca="false">LEN(TRIM(D90))-LEN(SUBSTITUTE(TRIM(D90)," ",""))+1</f>
        <v>53</v>
      </c>
      <c r="H90" s="5" t="str">
        <f aca="false">IF(G90&lt;40,"short",IF(G90&lt;100,"medium",IF(G90&lt;=200,"long","very long")))</f>
        <v>medium</v>
      </c>
      <c r="I90" s="5" t="s">
        <v>28</v>
      </c>
    </row>
    <row r="91" customFormat="false" ht="35.05" hidden="false" customHeight="false" outlineLevel="0" collapsed="false">
      <c r="A91" s="5" t="s">
        <v>235</v>
      </c>
      <c r="B91" s="5" t="s">
        <v>23</v>
      </c>
      <c r="C91" s="5" t="s">
        <v>24</v>
      </c>
      <c r="D91" s="5" t="s">
        <v>236</v>
      </c>
      <c r="E91" s="5" t="s">
        <v>237</v>
      </c>
      <c r="F91" s="5" t="s">
        <v>227</v>
      </c>
      <c r="G91" s="5" t="n">
        <f aca="false">LEN(TRIM(D91))-LEN(SUBSTITUTE(TRIM(D91)," ",""))+1</f>
        <v>54</v>
      </c>
      <c r="H91" s="5" t="str">
        <f aca="false">IF(G91&lt;40,"short",IF(G91&lt;100,"medium",IF(G91&lt;=200,"long","very long")))</f>
        <v>medium</v>
      </c>
      <c r="I91" s="5" t="s">
        <v>28</v>
      </c>
    </row>
    <row r="92" customFormat="false" ht="15" hidden="false" customHeight="false" outlineLevel="0" collapsed="false">
      <c r="A92" s="5" t="s">
        <v>238</v>
      </c>
      <c r="B92" s="5" t="s">
        <v>23</v>
      </c>
      <c r="C92" s="5" t="s">
        <v>24</v>
      </c>
      <c r="D92" s="5" t="s">
        <v>239</v>
      </c>
      <c r="E92" s="5" t="s">
        <v>37</v>
      </c>
      <c r="F92" s="5" t="s">
        <v>240</v>
      </c>
      <c r="G92" s="5" t="n">
        <f aca="false">LEN(TRIM(D92))-LEN(SUBSTITUTE(TRIM(D92)," ",""))+1</f>
        <v>6</v>
      </c>
      <c r="H92" s="5" t="str">
        <f aca="false">IF(G92&lt;40,"short",IF(G92&lt;100,"medium",IF(G92&lt;=200,"long","very long")))</f>
        <v>short</v>
      </c>
      <c r="I92" s="5" t="s">
        <v>28</v>
      </c>
    </row>
    <row r="93" customFormat="false" ht="15" hidden="false" customHeight="false" outlineLevel="0" collapsed="false">
      <c r="A93" s="5" t="s">
        <v>241</v>
      </c>
      <c r="B93" s="5" t="s">
        <v>23</v>
      </c>
      <c r="C93" s="5" t="s">
        <v>24</v>
      </c>
      <c r="D93" s="5" t="s">
        <v>242</v>
      </c>
      <c r="E93" s="5" t="s">
        <v>34</v>
      </c>
      <c r="F93" s="5" t="s">
        <v>240</v>
      </c>
      <c r="G93" s="5" t="n">
        <f aca="false">LEN(TRIM(D93))-LEN(SUBSTITUTE(TRIM(D93)," ",""))+1</f>
        <v>8</v>
      </c>
      <c r="H93" s="5" t="str">
        <f aca="false">IF(G93&lt;40,"short",IF(G93&lt;100,"medium",IF(G93&lt;=200,"long","very long")))</f>
        <v>short</v>
      </c>
      <c r="I93" s="5" t="s">
        <v>28</v>
      </c>
    </row>
    <row r="94" customFormat="false" ht="15" hidden="false" customHeight="false" outlineLevel="0" collapsed="false">
      <c r="A94" s="5" t="s">
        <v>243</v>
      </c>
      <c r="B94" s="5" t="s">
        <v>23</v>
      </c>
      <c r="C94" s="5" t="s">
        <v>24</v>
      </c>
      <c r="D94" s="5" t="s">
        <v>244</v>
      </c>
      <c r="E94" s="5" t="s">
        <v>53</v>
      </c>
      <c r="F94" s="5" t="s">
        <v>240</v>
      </c>
      <c r="G94" s="5" t="n">
        <f aca="false">LEN(TRIM(D94))-LEN(SUBSTITUTE(TRIM(D94)," ",""))+1</f>
        <v>6</v>
      </c>
      <c r="H94" s="5" t="str">
        <f aca="false">IF(G94&lt;40,"short",IF(G94&lt;100,"medium",IF(G94&lt;=200,"long","very long")))</f>
        <v>short</v>
      </c>
      <c r="I94" s="5" t="s">
        <v>28</v>
      </c>
    </row>
    <row r="95" customFormat="false" ht="15" hidden="false" customHeight="false" outlineLevel="0" collapsed="false">
      <c r="A95" s="5" t="s">
        <v>245</v>
      </c>
      <c r="B95" s="5" t="s">
        <v>23</v>
      </c>
      <c r="C95" s="5" t="s">
        <v>24</v>
      </c>
      <c r="D95" s="5" t="s">
        <v>246</v>
      </c>
      <c r="E95" s="5" t="s">
        <v>31</v>
      </c>
      <c r="F95" s="5" t="s">
        <v>240</v>
      </c>
      <c r="G95" s="5" t="n">
        <f aca="false">LEN(TRIM(D95))-LEN(SUBSTITUTE(TRIM(D95)," ",""))+1</f>
        <v>6</v>
      </c>
      <c r="H95" s="5" t="str">
        <f aca="false">IF(G95&lt;40,"short",IF(G95&lt;100,"medium",IF(G95&lt;=200,"long","very long")))</f>
        <v>short</v>
      </c>
      <c r="I95" s="5" t="s">
        <v>28</v>
      </c>
    </row>
    <row r="96" customFormat="false" ht="15" hidden="false" customHeight="false" outlineLevel="0" collapsed="false">
      <c r="A96" s="5" t="s">
        <v>247</v>
      </c>
      <c r="B96" s="5" t="s">
        <v>23</v>
      </c>
      <c r="C96" s="5" t="s">
        <v>24</v>
      </c>
      <c r="D96" s="5" t="s">
        <v>248</v>
      </c>
      <c r="E96" s="5" t="s">
        <v>48</v>
      </c>
      <c r="F96" s="5" t="s">
        <v>240</v>
      </c>
      <c r="G96" s="5" t="n">
        <f aca="false">LEN(TRIM(D96))-LEN(SUBSTITUTE(TRIM(D96)," ",""))+1</f>
        <v>10</v>
      </c>
      <c r="H96" s="5" t="str">
        <f aca="false">IF(G96&lt;40,"short",IF(G96&lt;100,"medium",IF(G96&lt;=200,"long","very long")))</f>
        <v>short</v>
      </c>
      <c r="I96" s="5" t="s">
        <v>28</v>
      </c>
    </row>
    <row r="97" customFormat="false" ht="35.05" hidden="false" customHeight="false" outlineLevel="0" collapsed="false">
      <c r="A97" s="5" t="s">
        <v>249</v>
      </c>
      <c r="B97" s="5" t="s">
        <v>23</v>
      </c>
      <c r="C97" s="5" t="s">
        <v>24</v>
      </c>
      <c r="D97" s="5" t="s">
        <v>250</v>
      </c>
      <c r="E97" s="5" t="s">
        <v>251</v>
      </c>
      <c r="F97" s="5" t="s">
        <v>252</v>
      </c>
      <c r="G97" s="5" t="n">
        <f aca="false">LEN(TRIM(D97))-LEN(SUBSTITUTE(TRIM(D97)," ",""))+1</f>
        <v>50</v>
      </c>
      <c r="H97" s="5" t="str">
        <f aca="false">IF(G97&lt;40,"short",IF(G97&lt;100,"medium",IF(G97&lt;=200,"long","very long")))</f>
        <v>medium</v>
      </c>
      <c r="I97" s="5" t="s">
        <v>28</v>
      </c>
    </row>
    <row r="98" customFormat="false" ht="23.85" hidden="false" customHeight="false" outlineLevel="0" collapsed="false">
      <c r="A98" s="5" t="s">
        <v>253</v>
      </c>
      <c r="B98" s="5" t="s">
        <v>23</v>
      </c>
      <c r="C98" s="5" t="s">
        <v>24</v>
      </c>
      <c r="D98" s="5" t="s">
        <v>254</v>
      </c>
      <c r="E98" s="5" t="s">
        <v>251</v>
      </c>
      <c r="F98" s="5" t="s">
        <v>252</v>
      </c>
      <c r="G98" s="5" t="n">
        <f aca="false">LEN(TRIM(D98))-LEN(SUBSTITUTE(TRIM(D98)," ",""))+1</f>
        <v>41</v>
      </c>
      <c r="H98" s="5" t="str">
        <f aca="false">IF(G98&lt;40,"short",IF(G98&lt;100,"medium",IF(G98&lt;=200,"long","very long")))</f>
        <v>medium</v>
      </c>
      <c r="I98" s="5" t="s">
        <v>28</v>
      </c>
    </row>
    <row r="99" customFormat="false" ht="23.85" hidden="false" customHeight="false" outlineLevel="0" collapsed="false">
      <c r="A99" s="5" t="s">
        <v>255</v>
      </c>
      <c r="B99" s="5" t="s">
        <v>23</v>
      </c>
      <c r="C99" s="5" t="s">
        <v>24</v>
      </c>
      <c r="D99" s="5" t="s">
        <v>256</v>
      </c>
      <c r="E99" s="5" t="s">
        <v>251</v>
      </c>
      <c r="F99" s="5" t="s">
        <v>252</v>
      </c>
      <c r="G99" s="5" t="n">
        <f aca="false">LEN(TRIM(D99))-LEN(SUBSTITUTE(TRIM(D99)," ",""))+1</f>
        <v>38</v>
      </c>
      <c r="H99" s="5" t="str">
        <f aca="false">IF(G99&lt;40,"short",IF(G99&lt;100,"medium",IF(G99&lt;=200,"long","very long")))</f>
        <v>short</v>
      </c>
      <c r="I99" s="5" t="s">
        <v>28</v>
      </c>
    </row>
    <row r="100" customFormat="false" ht="35.05" hidden="false" customHeight="false" outlineLevel="0" collapsed="false">
      <c r="A100" s="5" t="s">
        <v>257</v>
      </c>
      <c r="B100" s="5" t="s">
        <v>23</v>
      </c>
      <c r="C100" s="5" t="s">
        <v>24</v>
      </c>
      <c r="D100" s="5" t="s">
        <v>258</v>
      </c>
      <c r="E100" s="5" t="s">
        <v>251</v>
      </c>
      <c r="F100" s="5" t="s">
        <v>252</v>
      </c>
      <c r="G100" s="5" t="n">
        <f aca="false">LEN(TRIM(D100))-LEN(SUBSTITUTE(TRIM(D100)," ",""))+1</f>
        <v>44</v>
      </c>
      <c r="H100" s="5" t="str">
        <f aca="false">IF(G100&lt;40,"short",IF(G100&lt;100,"medium",IF(G100&lt;=200,"long","very long")))</f>
        <v>medium</v>
      </c>
      <c r="I100" s="5" t="s">
        <v>28</v>
      </c>
    </row>
    <row r="101" customFormat="false" ht="23.85" hidden="false" customHeight="false" outlineLevel="0" collapsed="false">
      <c r="A101" s="5" t="s">
        <v>259</v>
      </c>
      <c r="B101" s="5" t="s">
        <v>23</v>
      </c>
      <c r="C101" s="5" t="s">
        <v>24</v>
      </c>
      <c r="D101" s="5" t="s">
        <v>260</v>
      </c>
      <c r="E101" s="5" t="s">
        <v>251</v>
      </c>
      <c r="F101" s="5" t="s">
        <v>252</v>
      </c>
      <c r="G101" s="5" t="n">
        <f aca="false">LEN(TRIM(D101))-LEN(SUBSTITUTE(TRIM(D101)," ",""))+1</f>
        <v>35</v>
      </c>
      <c r="H101" s="5" t="str">
        <f aca="false">IF(G101&lt;40,"short",IF(G101&lt;100,"medium",IF(G101&lt;=200,"long","very long")))</f>
        <v>short</v>
      </c>
      <c r="I101" s="5" t="s">
        <v>28</v>
      </c>
    </row>
  </sheetData>
  <autoFilter ref="A1:I101"/>
  <dataValidations count="1">
    <dataValidation allowBlank="true" errorStyle="stop" operator="between" showDropDown="false" showErrorMessage="false" showInputMessage="false" sqref="F2:F500" type="list">
      <formula1>"cause before emotion,cause after emotion,different sentences,implicit cause,two emotions,two causes,one cause,two emotions,emotion only,no emotion"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8"/>
    <col collapsed="false" customWidth="true" hidden="false" outlineLevel="0" max="3" min="3" style="0" width="14"/>
    <col collapsed="false" customWidth="true" hidden="false" outlineLevel="0" max="4" min="4" style="0" width="44"/>
    <col collapsed="false" customWidth="true" hidden="false" outlineLevel="0" max="5" min="5" style="0" width="24"/>
    <col collapsed="false" customWidth="true" hidden="false" outlineLevel="0" max="6" min="6" style="0" width="44"/>
    <col collapsed="false" customWidth="true" hidden="false" outlineLevel="0" max="7" min="7" style="0" width="15"/>
    <col collapsed="false" customWidth="true" hidden="false" outlineLevel="0" max="8" min="8" style="0" width="12"/>
  </cols>
  <sheetData>
    <row r="1" customFormat="false" ht="15" hidden="false" customHeight="false" outlineLevel="0" collapsed="false">
      <c r="A1" s="4" t="s">
        <v>261</v>
      </c>
      <c r="B1" s="4" t="s">
        <v>262</v>
      </c>
      <c r="C1" s="4" t="s">
        <v>263</v>
      </c>
      <c r="D1" s="4" t="s">
        <v>264</v>
      </c>
      <c r="E1" s="4" t="s">
        <v>265</v>
      </c>
      <c r="F1" s="4" t="s">
        <v>266</v>
      </c>
      <c r="G1" s="4" t="s">
        <v>267</v>
      </c>
      <c r="H1" s="4" t="s">
        <v>268</v>
      </c>
    </row>
    <row r="2" customFormat="false" ht="15" hidden="false" customHeight="false" outlineLevel="0" collapsed="false">
      <c r="A2" s="5" t="s">
        <v>22</v>
      </c>
      <c r="B2" s="5" t="s">
        <v>269</v>
      </c>
      <c r="C2" s="5" t="s">
        <v>26</v>
      </c>
      <c r="D2" s="5" t="s">
        <v>270</v>
      </c>
      <c r="E2" s="5" t="s">
        <v>271</v>
      </c>
      <c r="F2" s="5" t="s">
        <v>272</v>
      </c>
      <c r="G2" s="5" t="s">
        <v>273</v>
      </c>
      <c r="H2" s="5" t="s">
        <v>274</v>
      </c>
    </row>
    <row r="3" customFormat="false" ht="15" hidden="false" customHeight="false" outlineLevel="0" collapsed="false">
      <c r="A3" s="5" t="s">
        <v>29</v>
      </c>
      <c r="B3" s="5" t="s">
        <v>275</v>
      </c>
      <c r="C3" s="5" t="s">
        <v>31</v>
      </c>
      <c r="D3" s="5" t="s">
        <v>276</v>
      </c>
      <c r="E3" s="5" t="s">
        <v>277</v>
      </c>
      <c r="F3" s="5" t="s">
        <v>278</v>
      </c>
      <c r="G3" s="5" t="s">
        <v>273</v>
      </c>
      <c r="H3" s="5" t="s">
        <v>274</v>
      </c>
    </row>
    <row r="4" customFormat="false" ht="15" hidden="false" customHeight="false" outlineLevel="0" collapsed="false">
      <c r="A4" s="5" t="s">
        <v>32</v>
      </c>
      <c r="B4" s="5" t="s">
        <v>279</v>
      </c>
      <c r="C4" s="5" t="s">
        <v>34</v>
      </c>
      <c r="D4" s="5" t="s">
        <v>280</v>
      </c>
      <c r="E4" s="5" t="s">
        <v>281</v>
      </c>
      <c r="F4" s="5" t="s">
        <v>282</v>
      </c>
      <c r="G4" s="5" t="s">
        <v>283</v>
      </c>
      <c r="H4" s="5" t="s">
        <v>274</v>
      </c>
    </row>
    <row r="5" customFormat="false" ht="23.85" hidden="false" customHeight="false" outlineLevel="0" collapsed="false">
      <c r="A5" s="5" t="s">
        <v>35</v>
      </c>
      <c r="B5" s="5" t="s">
        <v>284</v>
      </c>
      <c r="C5" s="5" t="s">
        <v>37</v>
      </c>
      <c r="D5" s="5" t="s">
        <v>285</v>
      </c>
      <c r="E5" s="5" t="s">
        <v>286</v>
      </c>
      <c r="F5" s="5" t="s">
        <v>287</v>
      </c>
      <c r="G5" s="5" t="s">
        <v>288</v>
      </c>
      <c r="H5" s="5" t="s">
        <v>274</v>
      </c>
    </row>
    <row r="6" customFormat="false" ht="15" hidden="false" customHeight="false" outlineLevel="0" collapsed="false">
      <c r="A6" s="5" t="s">
        <v>38</v>
      </c>
      <c r="B6" s="5" t="s">
        <v>289</v>
      </c>
      <c r="C6" s="5" t="s">
        <v>34</v>
      </c>
      <c r="D6" s="5" t="s">
        <v>290</v>
      </c>
      <c r="E6" s="5" t="s">
        <v>291</v>
      </c>
      <c r="F6" s="5" t="s">
        <v>292</v>
      </c>
      <c r="G6" s="5" t="s">
        <v>273</v>
      </c>
      <c r="H6" s="5" t="s">
        <v>274</v>
      </c>
    </row>
    <row r="7" customFormat="false" ht="23.85" hidden="false" customHeight="false" outlineLevel="0" collapsed="false">
      <c r="A7" s="5" t="s">
        <v>40</v>
      </c>
      <c r="B7" s="5" t="s">
        <v>293</v>
      </c>
      <c r="C7" s="5" t="s">
        <v>42</v>
      </c>
      <c r="D7" s="5" t="s">
        <v>294</v>
      </c>
      <c r="E7" s="5" t="s">
        <v>295</v>
      </c>
      <c r="F7" s="5" t="s">
        <v>296</v>
      </c>
      <c r="G7" s="5" t="s">
        <v>273</v>
      </c>
      <c r="H7" s="5" t="s">
        <v>274</v>
      </c>
    </row>
    <row r="8" customFormat="false" ht="15" hidden="false" customHeight="false" outlineLevel="0" collapsed="false">
      <c r="A8" s="5" t="s">
        <v>43</v>
      </c>
      <c r="B8" s="5" t="s">
        <v>297</v>
      </c>
      <c r="C8" s="5" t="s">
        <v>45</v>
      </c>
      <c r="D8" s="5" t="s">
        <v>298</v>
      </c>
      <c r="E8" s="5" t="s">
        <v>299</v>
      </c>
      <c r="F8" s="5" t="s">
        <v>300</v>
      </c>
      <c r="G8" s="5" t="s">
        <v>301</v>
      </c>
      <c r="H8" s="5" t="s">
        <v>274</v>
      </c>
    </row>
    <row r="9" customFormat="false" ht="23.85" hidden="false" customHeight="false" outlineLevel="0" collapsed="false">
      <c r="A9" s="5" t="s">
        <v>46</v>
      </c>
      <c r="B9" s="5" t="s">
        <v>302</v>
      </c>
      <c r="C9" s="5" t="s">
        <v>48</v>
      </c>
      <c r="D9" s="5" t="s">
        <v>303</v>
      </c>
      <c r="E9" s="5" t="s">
        <v>304</v>
      </c>
      <c r="F9" s="5" t="s">
        <v>282</v>
      </c>
      <c r="G9" s="5" t="s">
        <v>305</v>
      </c>
      <c r="H9" s="5" t="s">
        <v>274</v>
      </c>
    </row>
    <row r="10" customFormat="false" ht="23.85" hidden="false" customHeight="false" outlineLevel="0" collapsed="false">
      <c r="A10" s="5" t="s">
        <v>49</v>
      </c>
      <c r="B10" s="5" t="s">
        <v>306</v>
      </c>
      <c r="C10" s="5" t="s">
        <v>42</v>
      </c>
      <c r="D10" s="5" t="s">
        <v>307</v>
      </c>
      <c r="E10" s="5" t="s">
        <v>308</v>
      </c>
      <c r="F10" s="5" t="s">
        <v>309</v>
      </c>
      <c r="G10" s="5" t="s">
        <v>273</v>
      </c>
      <c r="H10" s="5" t="s">
        <v>274</v>
      </c>
    </row>
    <row r="11" customFormat="false" ht="23.85" hidden="false" customHeight="false" outlineLevel="0" collapsed="false">
      <c r="A11" s="5" t="s">
        <v>51</v>
      </c>
      <c r="B11" s="5" t="s">
        <v>310</v>
      </c>
      <c r="C11" s="5" t="s">
        <v>53</v>
      </c>
      <c r="D11" s="5" t="s">
        <v>311</v>
      </c>
      <c r="E11" s="5" t="s">
        <v>312</v>
      </c>
      <c r="F11" s="5" t="s">
        <v>313</v>
      </c>
      <c r="G11" s="5" t="s">
        <v>288</v>
      </c>
      <c r="H11" s="5" t="s">
        <v>274</v>
      </c>
    </row>
    <row r="12" customFormat="false" ht="23.85" hidden="false" customHeight="false" outlineLevel="0" collapsed="false">
      <c r="A12" s="5" t="s">
        <v>54</v>
      </c>
      <c r="B12" s="5" t="s">
        <v>314</v>
      </c>
      <c r="C12" s="5" t="s">
        <v>31</v>
      </c>
      <c r="D12" s="5" t="s">
        <v>315</v>
      </c>
      <c r="E12" s="5" t="s">
        <v>316</v>
      </c>
      <c r="F12" s="5" t="s">
        <v>317</v>
      </c>
      <c r="G12" s="5" t="s">
        <v>273</v>
      </c>
      <c r="H12" s="5" t="s">
        <v>274</v>
      </c>
    </row>
    <row r="13" customFormat="false" ht="23.85" hidden="false" customHeight="false" outlineLevel="0" collapsed="false">
      <c r="A13" s="5" t="s">
        <v>56</v>
      </c>
      <c r="B13" s="5" t="s">
        <v>318</v>
      </c>
      <c r="C13" s="5" t="s">
        <v>34</v>
      </c>
      <c r="D13" s="5" t="s">
        <v>319</v>
      </c>
      <c r="E13" s="5" t="s">
        <v>320</v>
      </c>
      <c r="F13" s="5" t="s">
        <v>321</v>
      </c>
      <c r="G13" s="5" t="s">
        <v>283</v>
      </c>
      <c r="H13" s="5" t="s">
        <v>274</v>
      </c>
    </row>
    <row r="14" customFormat="false" ht="23.85" hidden="false" customHeight="false" outlineLevel="0" collapsed="false">
      <c r="A14" s="5" t="s">
        <v>58</v>
      </c>
      <c r="B14" s="5" t="s">
        <v>322</v>
      </c>
      <c r="C14" s="5" t="s">
        <v>31</v>
      </c>
      <c r="D14" s="5" t="s">
        <v>323</v>
      </c>
      <c r="E14" s="5" t="s">
        <v>324</v>
      </c>
      <c r="F14" s="5" t="s">
        <v>282</v>
      </c>
      <c r="G14" s="5" t="s">
        <v>325</v>
      </c>
      <c r="H14" s="5" t="s">
        <v>274</v>
      </c>
    </row>
    <row r="15" customFormat="false" ht="23.85" hidden="false" customHeight="false" outlineLevel="0" collapsed="false">
      <c r="A15" s="5" t="s">
        <v>60</v>
      </c>
      <c r="B15" s="5" t="s">
        <v>326</v>
      </c>
      <c r="C15" s="5" t="s">
        <v>42</v>
      </c>
      <c r="D15" s="5" t="s">
        <v>327</v>
      </c>
      <c r="E15" s="5" t="s">
        <v>328</v>
      </c>
      <c r="F15" s="5" t="s">
        <v>329</v>
      </c>
      <c r="G15" s="5" t="s">
        <v>330</v>
      </c>
      <c r="H15" s="5" t="s">
        <v>274</v>
      </c>
    </row>
    <row r="16" customFormat="false" ht="23.85" hidden="false" customHeight="false" outlineLevel="0" collapsed="false">
      <c r="A16" s="5" t="s">
        <v>62</v>
      </c>
      <c r="B16" s="5" t="s">
        <v>331</v>
      </c>
      <c r="C16" s="5" t="s">
        <v>26</v>
      </c>
      <c r="D16" s="5" t="s">
        <v>332</v>
      </c>
      <c r="E16" s="5" t="s">
        <v>333</v>
      </c>
      <c r="F16" s="5" t="s">
        <v>334</v>
      </c>
      <c r="G16" s="5" t="s">
        <v>335</v>
      </c>
      <c r="H16" s="5" t="s">
        <v>274</v>
      </c>
    </row>
    <row r="17" customFormat="false" ht="23.85" hidden="false" customHeight="false" outlineLevel="0" collapsed="false">
      <c r="A17" s="5" t="s">
        <v>64</v>
      </c>
      <c r="B17" s="5" t="s">
        <v>336</v>
      </c>
      <c r="C17" s="5" t="s">
        <v>66</v>
      </c>
      <c r="D17" s="5" t="s">
        <v>337</v>
      </c>
      <c r="E17" s="5" t="s">
        <v>338</v>
      </c>
      <c r="F17" s="5" t="s">
        <v>339</v>
      </c>
      <c r="G17" s="5" t="s">
        <v>305</v>
      </c>
      <c r="H17" s="5" t="s">
        <v>274</v>
      </c>
    </row>
    <row r="18" customFormat="false" ht="23.85" hidden="false" customHeight="false" outlineLevel="0" collapsed="false">
      <c r="A18" s="5" t="s">
        <v>67</v>
      </c>
      <c r="B18" s="5" t="s">
        <v>340</v>
      </c>
      <c r="C18" s="5" t="s">
        <v>66</v>
      </c>
      <c r="D18" s="5" t="s">
        <v>341</v>
      </c>
      <c r="E18" s="5" t="s">
        <v>342</v>
      </c>
      <c r="F18" s="5" t="s">
        <v>282</v>
      </c>
      <c r="G18" s="5" t="s">
        <v>305</v>
      </c>
      <c r="H18" s="5" t="s">
        <v>274</v>
      </c>
    </row>
    <row r="19" customFormat="false" ht="23.85" hidden="false" customHeight="false" outlineLevel="0" collapsed="false">
      <c r="A19" s="5" t="s">
        <v>69</v>
      </c>
      <c r="B19" s="5" t="s">
        <v>343</v>
      </c>
      <c r="C19" s="5" t="s">
        <v>37</v>
      </c>
      <c r="D19" s="5" t="s">
        <v>344</v>
      </c>
      <c r="E19" s="5" t="s">
        <v>345</v>
      </c>
      <c r="F19" s="5" t="s">
        <v>346</v>
      </c>
      <c r="G19" s="5" t="s">
        <v>273</v>
      </c>
      <c r="H19" s="5" t="s">
        <v>274</v>
      </c>
    </row>
    <row r="20" customFormat="false" ht="23.85" hidden="false" customHeight="false" outlineLevel="0" collapsed="false">
      <c r="A20" s="5" t="s">
        <v>71</v>
      </c>
      <c r="B20" s="5" t="s">
        <v>347</v>
      </c>
      <c r="C20" s="5" t="s">
        <v>37</v>
      </c>
      <c r="D20" s="5" t="s">
        <v>348</v>
      </c>
      <c r="E20" s="5" t="s">
        <v>349</v>
      </c>
      <c r="F20" s="5" t="s">
        <v>350</v>
      </c>
      <c r="G20" s="5" t="s">
        <v>301</v>
      </c>
      <c r="H20" s="5" t="s">
        <v>274</v>
      </c>
    </row>
    <row r="21" customFormat="false" ht="23.85" hidden="false" customHeight="false" outlineLevel="0" collapsed="false">
      <c r="A21" s="5" t="s">
        <v>73</v>
      </c>
      <c r="B21" s="5" t="s">
        <v>351</v>
      </c>
      <c r="C21" s="5" t="s">
        <v>48</v>
      </c>
      <c r="D21" s="5" t="s">
        <v>352</v>
      </c>
      <c r="E21" s="5" t="s">
        <v>353</v>
      </c>
      <c r="F21" s="5" t="s">
        <v>354</v>
      </c>
      <c r="G21" s="5" t="s">
        <v>335</v>
      </c>
      <c r="H21" s="5" t="s">
        <v>274</v>
      </c>
    </row>
    <row r="22" customFormat="false" ht="23.85" hidden="false" customHeight="false" outlineLevel="0" collapsed="false">
      <c r="A22" s="5" t="s">
        <v>75</v>
      </c>
      <c r="B22" s="5" t="s">
        <v>355</v>
      </c>
      <c r="C22" s="5" t="s">
        <v>48</v>
      </c>
      <c r="D22" s="5" t="s">
        <v>356</v>
      </c>
      <c r="E22" s="5" t="s">
        <v>357</v>
      </c>
      <c r="F22" s="5" t="s">
        <v>358</v>
      </c>
      <c r="G22" s="5" t="s">
        <v>288</v>
      </c>
      <c r="H22" s="5" t="s">
        <v>274</v>
      </c>
    </row>
    <row r="23" customFormat="false" ht="23.85" hidden="false" customHeight="false" outlineLevel="0" collapsed="false">
      <c r="A23" s="5" t="s">
        <v>77</v>
      </c>
      <c r="B23" s="5" t="s">
        <v>359</v>
      </c>
      <c r="C23" s="5" t="s">
        <v>79</v>
      </c>
      <c r="D23" s="5" t="s">
        <v>360</v>
      </c>
      <c r="E23" s="5" t="s">
        <v>361</v>
      </c>
      <c r="F23" s="5" t="s">
        <v>362</v>
      </c>
      <c r="G23" s="5" t="s">
        <v>288</v>
      </c>
      <c r="H23" s="5" t="s">
        <v>274</v>
      </c>
    </row>
    <row r="24" customFormat="false" ht="23.85" hidden="false" customHeight="false" outlineLevel="0" collapsed="false">
      <c r="A24" s="5" t="s">
        <v>80</v>
      </c>
      <c r="B24" s="5" t="s">
        <v>363</v>
      </c>
      <c r="C24" s="5" t="s">
        <v>45</v>
      </c>
      <c r="D24" s="5" t="s">
        <v>364</v>
      </c>
      <c r="E24" s="5" t="s">
        <v>365</v>
      </c>
      <c r="F24" s="5" t="s">
        <v>366</v>
      </c>
      <c r="G24" s="5" t="s">
        <v>288</v>
      </c>
      <c r="H24" s="5" t="s">
        <v>274</v>
      </c>
    </row>
    <row r="25" customFormat="false" ht="23.85" hidden="false" customHeight="false" outlineLevel="0" collapsed="false">
      <c r="A25" s="5" t="s">
        <v>82</v>
      </c>
      <c r="B25" s="5" t="s">
        <v>367</v>
      </c>
      <c r="C25" s="5" t="s">
        <v>53</v>
      </c>
      <c r="D25" s="5" t="s">
        <v>368</v>
      </c>
      <c r="E25" s="5" t="s">
        <v>369</v>
      </c>
      <c r="F25" s="5" t="s">
        <v>370</v>
      </c>
      <c r="G25" s="5" t="s">
        <v>325</v>
      </c>
      <c r="H25" s="5" t="s">
        <v>274</v>
      </c>
    </row>
    <row r="26" customFormat="false" ht="23.85" hidden="false" customHeight="false" outlineLevel="0" collapsed="false">
      <c r="A26" s="5" t="s">
        <v>84</v>
      </c>
      <c r="B26" s="5" t="s">
        <v>371</v>
      </c>
      <c r="C26" s="5" t="s">
        <v>42</v>
      </c>
      <c r="D26" s="5" t="s">
        <v>372</v>
      </c>
      <c r="E26" s="5" t="s">
        <v>373</v>
      </c>
      <c r="F26" s="5" t="s">
        <v>282</v>
      </c>
      <c r="G26" s="5" t="s">
        <v>273</v>
      </c>
      <c r="H26" s="5" t="s">
        <v>274</v>
      </c>
    </row>
    <row r="27" customFormat="false" ht="23.85" hidden="false" customHeight="false" outlineLevel="0" collapsed="false">
      <c r="A27" s="5" t="s">
        <v>86</v>
      </c>
      <c r="B27" s="5" t="s">
        <v>374</v>
      </c>
      <c r="C27" s="5" t="s">
        <v>26</v>
      </c>
      <c r="D27" s="5" t="s">
        <v>375</v>
      </c>
      <c r="E27" s="5" t="s">
        <v>376</v>
      </c>
      <c r="F27" s="5" t="s">
        <v>377</v>
      </c>
      <c r="G27" s="5" t="s">
        <v>288</v>
      </c>
      <c r="H27" s="5" t="s">
        <v>274</v>
      </c>
    </row>
    <row r="28" customFormat="false" ht="23.85" hidden="false" customHeight="false" outlineLevel="0" collapsed="false">
      <c r="A28" s="5" t="s">
        <v>89</v>
      </c>
      <c r="B28" s="5" t="s">
        <v>378</v>
      </c>
      <c r="C28" s="5" t="s">
        <v>48</v>
      </c>
      <c r="D28" s="5" t="s">
        <v>379</v>
      </c>
      <c r="E28" s="5" t="s">
        <v>380</v>
      </c>
      <c r="F28" s="5" t="s">
        <v>282</v>
      </c>
      <c r="G28" s="5" t="s">
        <v>273</v>
      </c>
      <c r="H28" s="5" t="s">
        <v>274</v>
      </c>
    </row>
    <row r="29" customFormat="false" ht="15" hidden="false" customHeight="false" outlineLevel="0" collapsed="false">
      <c r="A29" s="5" t="s">
        <v>91</v>
      </c>
      <c r="B29" s="5" t="s">
        <v>381</v>
      </c>
      <c r="C29" s="5" t="s">
        <v>53</v>
      </c>
      <c r="D29" s="5" t="s">
        <v>382</v>
      </c>
      <c r="E29" s="5" t="s">
        <v>383</v>
      </c>
      <c r="F29" s="5" t="s">
        <v>384</v>
      </c>
      <c r="G29" s="5" t="s">
        <v>273</v>
      </c>
      <c r="H29" s="5" t="s">
        <v>274</v>
      </c>
    </row>
    <row r="30" customFormat="false" ht="23.85" hidden="false" customHeight="false" outlineLevel="0" collapsed="false">
      <c r="A30" s="5" t="s">
        <v>93</v>
      </c>
      <c r="B30" s="5" t="s">
        <v>385</v>
      </c>
      <c r="C30" s="5" t="s">
        <v>31</v>
      </c>
      <c r="D30" s="5" t="s">
        <v>386</v>
      </c>
      <c r="E30" s="5" t="s">
        <v>387</v>
      </c>
      <c r="F30" s="5" t="s">
        <v>272</v>
      </c>
      <c r="G30" s="5" t="s">
        <v>305</v>
      </c>
      <c r="H30" s="5" t="s">
        <v>274</v>
      </c>
    </row>
    <row r="31" customFormat="false" ht="15" hidden="false" customHeight="false" outlineLevel="0" collapsed="false">
      <c r="A31" s="5" t="s">
        <v>95</v>
      </c>
      <c r="B31" s="5" t="s">
        <v>388</v>
      </c>
      <c r="C31" s="5" t="s">
        <v>34</v>
      </c>
      <c r="D31" s="5" t="s">
        <v>389</v>
      </c>
      <c r="E31" s="5" t="s">
        <v>390</v>
      </c>
      <c r="F31" s="5" t="s">
        <v>391</v>
      </c>
      <c r="G31" s="5" t="s">
        <v>301</v>
      </c>
      <c r="H31" s="5" t="s">
        <v>274</v>
      </c>
    </row>
    <row r="32" customFormat="false" ht="15" hidden="false" customHeight="false" outlineLevel="0" collapsed="false">
      <c r="A32" s="5" t="s">
        <v>97</v>
      </c>
      <c r="B32" s="5" t="s">
        <v>359</v>
      </c>
      <c r="C32" s="5" t="s">
        <v>79</v>
      </c>
      <c r="D32" s="5" t="s">
        <v>392</v>
      </c>
      <c r="E32" s="5" t="s">
        <v>393</v>
      </c>
      <c r="F32" s="5" t="s">
        <v>394</v>
      </c>
      <c r="G32" s="5" t="s">
        <v>288</v>
      </c>
      <c r="H32" s="5" t="s">
        <v>274</v>
      </c>
    </row>
    <row r="33" customFormat="false" ht="15" hidden="false" customHeight="false" outlineLevel="0" collapsed="false">
      <c r="A33" s="5" t="s">
        <v>99</v>
      </c>
      <c r="B33" s="5" t="s">
        <v>395</v>
      </c>
      <c r="C33" s="5" t="s">
        <v>37</v>
      </c>
      <c r="D33" s="5" t="s">
        <v>396</v>
      </c>
      <c r="E33" s="5" t="s">
        <v>397</v>
      </c>
      <c r="F33" s="5" t="s">
        <v>398</v>
      </c>
      <c r="G33" s="5" t="s">
        <v>301</v>
      </c>
      <c r="H33" s="5" t="s">
        <v>274</v>
      </c>
    </row>
    <row r="34" customFormat="false" ht="15" hidden="false" customHeight="false" outlineLevel="0" collapsed="false">
      <c r="A34" s="5" t="s">
        <v>101</v>
      </c>
      <c r="B34" s="5" t="s">
        <v>399</v>
      </c>
      <c r="C34" s="5" t="s">
        <v>66</v>
      </c>
      <c r="D34" s="5" t="s">
        <v>400</v>
      </c>
      <c r="E34" s="5" t="s">
        <v>401</v>
      </c>
      <c r="F34" s="5" t="s">
        <v>272</v>
      </c>
      <c r="G34" s="5" t="s">
        <v>305</v>
      </c>
      <c r="H34" s="5" t="s">
        <v>274</v>
      </c>
    </row>
    <row r="35" customFormat="false" ht="15" hidden="false" customHeight="false" outlineLevel="0" collapsed="false">
      <c r="A35" s="5" t="s">
        <v>103</v>
      </c>
      <c r="B35" s="5" t="s">
        <v>402</v>
      </c>
      <c r="C35" s="5" t="s">
        <v>42</v>
      </c>
      <c r="D35" s="5" t="s">
        <v>403</v>
      </c>
      <c r="E35" s="5" t="s">
        <v>404</v>
      </c>
      <c r="F35" s="5" t="s">
        <v>405</v>
      </c>
      <c r="G35" s="5" t="s">
        <v>330</v>
      </c>
      <c r="H35" s="5" t="s">
        <v>274</v>
      </c>
    </row>
    <row r="36" customFormat="false" ht="23.85" hidden="false" customHeight="false" outlineLevel="0" collapsed="false">
      <c r="A36" s="5" t="s">
        <v>105</v>
      </c>
      <c r="B36" s="5" t="s">
        <v>406</v>
      </c>
      <c r="C36" s="5" t="s">
        <v>45</v>
      </c>
      <c r="D36" s="5" t="s">
        <v>407</v>
      </c>
      <c r="E36" s="5" t="s">
        <v>408</v>
      </c>
      <c r="F36" s="5" t="s">
        <v>409</v>
      </c>
      <c r="G36" s="5" t="s">
        <v>273</v>
      </c>
      <c r="H36" s="5" t="s">
        <v>274</v>
      </c>
    </row>
    <row r="37" customFormat="false" ht="23.85" hidden="false" customHeight="false" outlineLevel="0" collapsed="false">
      <c r="A37" s="5" t="s">
        <v>107</v>
      </c>
      <c r="B37" s="5" t="s">
        <v>410</v>
      </c>
      <c r="C37" s="5" t="s">
        <v>34</v>
      </c>
      <c r="D37" s="5" t="s">
        <v>411</v>
      </c>
      <c r="E37" s="5" t="s">
        <v>412</v>
      </c>
      <c r="F37" s="5" t="s">
        <v>413</v>
      </c>
      <c r="G37" s="5" t="s">
        <v>283</v>
      </c>
      <c r="H37" s="5" t="s">
        <v>274</v>
      </c>
    </row>
    <row r="38" customFormat="false" ht="15" hidden="false" customHeight="false" outlineLevel="0" collapsed="false">
      <c r="A38" s="5" t="s">
        <v>110</v>
      </c>
      <c r="B38" s="5" t="s">
        <v>414</v>
      </c>
      <c r="C38" s="5" t="s">
        <v>48</v>
      </c>
      <c r="D38" s="5" t="s">
        <v>415</v>
      </c>
      <c r="E38" s="5" t="s">
        <v>416</v>
      </c>
      <c r="F38" s="5" t="s">
        <v>417</v>
      </c>
      <c r="G38" s="5" t="s">
        <v>288</v>
      </c>
      <c r="H38" s="5" t="s">
        <v>274</v>
      </c>
    </row>
    <row r="39" customFormat="false" ht="15" hidden="false" customHeight="false" outlineLevel="0" collapsed="false">
      <c r="A39" s="5" t="s">
        <v>112</v>
      </c>
      <c r="B39" s="5" t="s">
        <v>418</v>
      </c>
      <c r="C39" s="5" t="s">
        <v>79</v>
      </c>
      <c r="D39" s="5" t="s">
        <v>419</v>
      </c>
      <c r="E39" s="5" t="s">
        <v>420</v>
      </c>
      <c r="F39" s="5" t="s">
        <v>282</v>
      </c>
      <c r="G39" s="5" t="s">
        <v>273</v>
      </c>
      <c r="H39" s="5" t="s">
        <v>274</v>
      </c>
    </row>
    <row r="40" customFormat="false" ht="23.85" hidden="false" customHeight="false" outlineLevel="0" collapsed="false">
      <c r="A40" s="5" t="s">
        <v>114</v>
      </c>
      <c r="B40" s="5" t="s">
        <v>421</v>
      </c>
      <c r="C40" s="5" t="s">
        <v>53</v>
      </c>
      <c r="D40" s="5" t="s">
        <v>422</v>
      </c>
      <c r="E40" s="5" t="s">
        <v>423</v>
      </c>
      <c r="F40" s="5" t="s">
        <v>424</v>
      </c>
      <c r="G40" s="5" t="s">
        <v>283</v>
      </c>
      <c r="H40" s="5" t="s">
        <v>274</v>
      </c>
    </row>
    <row r="41" customFormat="false" ht="23.85" hidden="false" customHeight="false" outlineLevel="0" collapsed="false">
      <c r="A41" s="5" t="s">
        <v>116</v>
      </c>
      <c r="B41" s="5" t="s">
        <v>425</v>
      </c>
      <c r="C41" s="5" t="s">
        <v>66</v>
      </c>
      <c r="D41" s="5" t="s">
        <v>426</v>
      </c>
      <c r="E41" s="5" t="s">
        <v>427</v>
      </c>
      <c r="F41" s="5" t="s">
        <v>428</v>
      </c>
      <c r="G41" s="5" t="s">
        <v>305</v>
      </c>
      <c r="H41" s="5" t="s">
        <v>274</v>
      </c>
    </row>
    <row r="42" customFormat="false" ht="15" hidden="false" customHeight="false" outlineLevel="0" collapsed="false">
      <c r="A42" s="5" t="s">
        <v>118</v>
      </c>
      <c r="B42" s="5" t="s">
        <v>429</v>
      </c>
      <c r="C42" s="5" t="s">
        <v>26</v>
      </c>
      <c r="D42" s="5" t="s">
        <v>430</v>
      </c>
      <c r="E42" s="5" t="s">
        <v>431</v>
      </c>
      <c r="F42" s="5" t="s">
        <v>432</v>
      </c>
      <c r="G42" s="5" t="s">
        <v>301</v>
      </c>
      <c r="H42" s="5" t="s">
        <v>274</v>
      </c>
    </row>
    <row r="43" customFormat="false" ht="15" hidden="false" customHeight="false" outlineLevel="0" collapsed="false">
      <c r="A43" s="5" t="s">
        <v>120</v>
      </c>
      <c r="B43" s="5" t="s">
        <v>433</v>
      </c>
      <c r="C43" s="5" t="s">
        <v>53</v>
      </c>
      <c r="D43" s="5" t="s">
        <v>434</v>
      </c>
      <c r="E43" s="5" t="s">
        <v>435</v>
      </c>
      <c r="F43" s="5" t="s">
        <v>436</v>
      </c>
      <c r="G43" s="5" t="s">
        <v>273</v>
      </c>
      <c r="H43" s="5" t="s">
        <v>274</v>
      </c>
    </row>
    <row r="44" customFormat="false" ht="23.85" hidden="false" customHeight="false" outlineLevel="0" collapsed="false">
      <c r="A44" s="5" t="s">
        <v>122</v>
      </c>
      <c r="B44" s="5" t="s">
        <v>437</v>
      </c>
      <c r="C44" s="5" t="s">
        <v>48</v>
      </c>
      <c r="D44" s="5" t="s">
        <v>438</v>
      </c>
      <c r="E44" s="5" t="s">
        <v>439</v>
      </c>
      <c r="F44" s="5" t="s">
        <v>440</v>
      </c>
      <c r="G44" s="5" t="s">
        <v>288</v>
      </c>
      <c r="H44" s="5" t="s">
        <v>274</v>
      </c>
    </row>
    <row r="45" customFormat="false" ht="15" hidden="false" customHeight="false" outlineLevel="0" collapsed="false">
      <c r="A45" s="5" t="s">
        <v>124</v>
      </c>
      <c r="B45" s="5" t="s">
        <v>441</v>
      </c>
      <c r="C45" s="5" t="s">
        <v>48</v>
      </c>
      <c r="D45" s="5" t="s">
        <v>442</v>
      </c>
      <c r="E45" s="5" t="s">
        <v>443</v>
      </c>
      <c r="F45" s="5" t="s">
        <v>282</v>
      </c>
      <c r="G45" s="5" t="s">
        <v>283</v>
      </c>
      <c r="H45" s="5" t="s">
        <v>274</v>
      </c>
    </row>
    <row r="46" customFormat="false" ht="23.85" hidden="false" customHeight="false" outlineLevel="0" collapsed="false">
      <c r="A46" s="5" t="s">
        <v>126</v>
      </c>
      <c r="B46" s="5" t="s">
        <v>444</v>
      </c>
      <c r="C46" s="5" t="s">
        <v>34</v>
      </c>
      <c r="D46" s="5" t="s">
        <v>445</v>
      </c>
      <c r="E46" s="5" t="s">
        <v>446</v>
      </c>
      <c r="F46" s="5" t="s">
        <v>447</v>
      </c>
      <c r="G46" s="5" t="s">
        <v>335</v>
      </c>
      <c r="H46" s="5" t="s">
        <v>274</v>
      </c>
    </row>
    <row r="47" customFormat="false" ht="23.85" hidden="false" customHeight="false" outlineLevel="0" collapsed="false">
      <c r="A47" s="5" t="s">
        <v>128</v>
      </c>
      <c r="B47" s="5" t="s">
        <v>448</v>
      </c>
      <c r="C47" s="5" t="s">
        <v>66</v>
      </c>
      <c r="D47" s="5" t="s">
        <v>449</v>
      </c>
      <c r="E47" s="5" t="s">
        <v>450</v>
      </c>
      <c r="F47" s="5" t="s">
        <v>451</v>
      </c>
      <c r="G47" s="5" t="s">
        <v>325</v>
      </c>
      <c r="H47" s="5" t="s">
        <v>274</v>
      </c>
    </row>
    <row r="48" customFormat="false" ht="15" hidden="false" customHeight="false" outlineLevel="0" collapsed="false">
      <c r="A48" s="5" t="s">
        <v>130</v>
      </c>
      <c r="B48" s="5" t="s">
        <v>452</v>
      </c>
      <c r="C48" s="5" t="s">
        <v>37</v>
      </c>
      <c r="D48" s="5" t="s">
        <v>453</v>
      </c>
      <c r="E48" s="5" t="s">
        <v>454</v>
      </c>
      <c r="F48" s="5" t="s">
        <v>455</v>
      </c>
      <c r="G48" s="5" t="s">
        <v>283</v>
      </c>
      <c r="H48" s="5" t="s">
        <v>274</v>
      </c>
    </row>
    <row r="49" customFormat="false" ht="23.85" hidden="false" customHeight="false" outlineLevel="0" collapsed="false">
      <c r="A49" s="5" t="s">
        <v>132</v>
      </c>
      <c r="B49" s="5" t="s">
        <v>456</v>
      </c>
      <c r="C49" s="5" t="s">
        <v>45</v>
      </c>
      <c r="D49" s="5" t="s">
        <v>457</v>
      </c>
      <c r="E49" s="5" t="s">
        <v>458</v>
      </c>
      <c r="F49" s="5" t="s">
        <v>282</v>
      </c>
      <c r="G49" s="5" t="s">
        <v>273</v>
      </c>
      <c r="H49" s="5" t="s">
        <v>274</v>
      </c>
    </row>
    <row r="50" customFormat="false" ht="23.85" hidden="false" customHeight="false" outlineLevel="0" collapsed="false">
      <c r="A50" s="5" t="s">
        <v>134</v>
      </c>
      <c r="B50" s="5" t="s">
        <v>459</v>
      </c>
      <c r="C50" s="5" t="s">
        <v>53</v>
      </c>
      <c r="D50" s="5" t="s">
        <v>460</v>
      </c>
      <c r="E50" s="5" t="s">
        <v>461</v>
      </c>
      <c r="F50" s="5" t="s">
        <v>462</v>
      </c>
      <c r="G50" s="5" t="s">
        <v>283</v>
      </c>
      <c r="H50" s="5" t="s">
        <v>274</v>
      </c>
    </row>
    <row r="51" customFormat="false" ht="15" hidden="false" customHeight="false" outlineLevel="0" collapsed="false">
      <c r="A51" s="5" t="s">
        <v>136</v>
      </c>
      <c r="B51" s="5" t="s">
        <v>463</v>
      </c>
      <c r="C51" s="5" t="s">
        <v>66</v>
      </c>
      <c r="D51" s="5" t="s">
        <v>464</v>
      </c>
      <c r="E51" s="5" t="s">
        <v>465</v>
      </c>
      <c r="F51" s="5" t="s">
        <v>466</v>
      </c>
      <c r="G51" s="5" t="s">
        <v>301</v>
      </c>
      <c r="H51" s="5" t="s">
        <v>274</v>
      </c>
    </row>
    <row r="52" customFormat="false" ht="15" hidden="false" customHeight="false" outlineLevel="0" collapsed="false">
      <c r="A52" s="5" t="s">
        <v>138</v>
      </c>
      <c r="B52" s="5" t="s">
        <v>467</v>
      </c>
      <c r="C52" s="5" t="s">
        <v>48</v>
      </c>
      <c r="D52" s="5" t="s">
        <v>468</v>
      </c>
      <c r="E52" s="5" t="s">
        <v>469</v>
      </c>
      <c r="F52" s="5" t="s">
        <v>470</v>
      </c>
      <c r="G52" s="5" t="s">
        <v>282</v>
      </c>
      <c r="H52" s="5" t="s">
        <v>274</v>
      </c>
    </row>
    <row r="53" customFormat="false" ht="15" hidden="false" customHeight="false" outlineLevel="0" collapsed="false">
      <c r="A53" s="5" t="s">
        <v>141</v>
      </c>
      <c r="B53" s="5" t="s">
        <v>471</v>
      </c>
      <c r="C53" s="5" t="s">
        <v>48</v>
      </c>
      <c r="D53" s="5" t="s">
        <v>468</v>
      </c>
      <c r="E53" s="5" t="s">
        <v>469</v>
      </c>
      <c r="F53" s="5" t="s">
        <v>296</v>
      </c>
      <c r="G53" s="5" t="s">
        <v>282</v>
      </c>
      <c r="H53" s="5" t="s">
        <v>274</v>
      </c>
    </row>
    <row r="54" customFormat="false" ht="15" hidden="false" customHeight="false" outlineLevel="0" collapsed="false">
      <c r="A54" s="5" t="s">
        <v>143</v>
      </c>
      <c r="B54" s="5" t="s">
        <v>472</v>
      </c>
      <c r="C54" s="5" t="s">
        <v>34</v>
      </c>
      <c r="D54" s="5" t="s">
        <v>468</v>
      </c>
      <c r="E54" s="5" t="s">
        <v>469</v>
      </c>
      <c r="F54" s="5" t="s">
        <v>473</v>
      </c>
      <c r="G54" s="5" t="s">
        <v>282</v>
      </c>
      <c r="H54" s="5" t="s">
        <v>274</v>
      </c>
    </row>
    <row r="55" customFormat="false" ht="15" hidden="false" customHeight="false" outlineLevel="0" collapsed="false">
      <c r="A55" s="5" t="s">
        <v>145</v>
      </c>
      <c r="B55" s="5" t="s">
        <v>474</v>
      </c>
      <c r="C55" s="5" t="s">
        <v>53</v>
      </c>
      <c r="D55" s="5" t="s">
        <v>468</v>
      </c>
      <c r="E55" s="5" t="s">
        <v>469</v>
      </c>
      <c r="F55" s="5" t="s">
        <v>272</v>
      </c>
      <c r="G55" s="5" t="s">
        <v>282</v>
      </c>
      <c r="H55" s="5" t="s">
        <v>274</v>
      </c>
    </row>
    <row r="56" customFormat="false" ht="15" hidden="false" customHeight="false" outlineLevel="0" collapsed="false">
      <c r="A56" s="5" t="s">
        <v>147</v>
      </c>
      <c r="B56" s="5" t="s">
        <v>475</v>
      </c>
      <c r="C56" s="5" t="s">
        <v>26</v>
      </c>
      <c r="D56" s="5" t="s">
        <v>468</v>
      </c>
      <c r="E56" s="5" t="s">
        <v>469</v>
      </c>
      <c r="F56" s="5" t="s">
        <v>272</v>
      </c>
      <c r="G56" s="5" t="s">
        <v>282</v>
      </c>
      <c r="H56" s="5" t="s">
        <v>274</v>
      </c>
    </row>
    <row r="57" customFormat="false" ht="15" hidden="false" customHeight="false" outlineLevel="0" collapsed="false">
      <c r="A57" s="5" t="s">
        <v>149</v>
      </c>
      <c r="B57" s="5" t="s">
        <v>476</v>
      </c>
      <c r="C57" s="5" t="s">
        <v>42</v>
      </c>
      <c r="D57" s="5" t="s">
        <v>468</v>
      </c>
      <c r="E57" s="5" t="s">
        <v>469</v>
      </c>
      <c r="F57" s="5" t="s">
        <v>282</v>
      </c>
      <c r="G57" s="5" t="s">
        <v>282</v>
      </c>
      <c r="H57" s="5" t="s">
        <v>274</v>
      </c>
    </row>
    <row r="58" customFormat="false" ht="15" hidden="false" customHeight="false" outlineLevel="0" collapsed="false">
      <c r="A58" s="5" t="s">
        <v>151</v>
      </c>
      <c r="B58" s="5" t="s">
        <v>477</v>
      </c>
      <c r="C58" s="5" t="s">
        <v>66</v>
      </c>
      <c r="D58" s="5" t="s">
        <v>468</v>
      </c>
      <c r="E58" s="5" t="s">
        <v>469</v>
      </c>
      <c r="F58" s="5" t="s">
        <v>282</v>
      </c>
      <c r="G58" s="5" t="s">
        <v>282</v>
      </c>
      <c r="H58" s="5" t="s">
        <v>274</v>
      </c>
    </row>
    <row r="59" customFormat="false" ht="23.85" hidden="false" customHeight="false" outlineLevel="0" collapsed="false">
      <c r="A59" s="5" t="s">
        <v>153</v>
      </c>
      <c r="B59" s="5" t="s">
        <v>478</v>
      </c>
      <c r="C59" s="5" t="s">
        <v>26</v>
      </c>
      <c r="D59" s="5" t="s">
        <v>468</v>
      </c>
      <c r="E59" s="5" t="s">
        <v>469</v>
      </c>
      <c r="F59" s="5" t="s">
        <v>479</v>
      </c>
      <c r="G59" s="5" t="s">
        <v>282</v>
      </c>
      <c r="H59" s="5" t="s">
        <v>274</v>
      </c>
    </row>
    <row r="60" customFormat="false" ht="15" hidden="false" customHeight="false" outlineLevel="0" collapsed="false">
      <c r="A60" s="5" t="s">
        <v>155</v>
      </c>
      <c r="B60" s="5" t="s">
        <v>480</v>
      </c>
      <c r="C60" s="5" t="s">
        <v>48</v>
      </c>
      <c r="D60" s="5" t="s">
        <v>468</v>
      </c>
      <c r="E60" s="5" t="s">
        <v>469</v>
      </c>
      <c r="F60" s="5" t="s">
        <v>296</v>
      </c>
      <c r="G60" s="5" t="s">
        <v>282</v>
      </c>
      <c r="H60" s="5" t="s">
        <v>274</v>
      </c>
    </row>
    <row r="61" customFormat="false" ht="23.85" hidden="false" customHeight="false" outlineLevel="0" collapsed="false">
      <c r="A61" s="5" t="s">
        <v>157</v>
      </c>
      <c r="B61" s="5" t="s">
        <v>481</v>
      </c>
      <c r="C61" s="5" t="s">
        <v>53</v>
      </c>
      <c r="D61" s="5" t="s">
        <v>468</v>
      </c>
      <c r="E61" s="5" t="s">
        <v>469</v>
      </c>
      <c r="F61" s="5" t="s">
        <v>272</v>
      </c>
      <c r="G61" s="5" t="s">
        <v>282</v>
      </c>
      <c r="H61" s="5" t="s">
        <v>274</v>
      </c>
    </row>
    <row r="62" customFormat="false" ht="15" hidden="false" customHeight="false" outlineLevel="0" collapsed="false">
      <c r="A62" s="5" t="s">
        <v>159</v>
      </c>
      <c r="B62" s="5" t="s">
        <v>482</v>
      </c>
      <c r="C62" s="5" t="s">
        <v>31</v>
      </c>
      <c r="D62" s="5" t="s">
        <v>468</v>
      </c>
      <c r="E62" s="5" t="s">
        <v>469</v>
      </c>
      <c r="F62" s="5" t="s">
        <v>296</v>
      </c>
      <c r="G62" s="5" t="s">
        <v>282</v>
      </c>
      <c r="H62" s="5" t="s">
        <v>274</v>
      </c>
    </row>
    <row r="63" customFormat="false" ht="15" hidden="false" customHeight="false" outlineLevel="0" collapsed="false">
      <c r="A63" s="5" t="s">
        <v>161</v>
      </c>
      <c r="B63" s="5" t="s">
        <v>483</v>
      </c>
      <c r="C63" s="5" t="s">
        <v>37</v>
      </c>
      <c r="D63" s="5" t="s">
        <v>468</v>
      </c>
      <c r="E63" s="5" t="s">
        <v>469</v>
      </c>
      <c r="F63" s="5" t="s">
        <v>272</v>
      </c>
      <c r="G63" s="5" t="s">
        <v>282</v>
      </c>
      <c r="H63" s="5" t="s">
        <v>274</v>
      </c>
    </row>
    <row r="64" customFormat="false" ht="23.85" hidden="false" customHeight="false" outlineLevel="0" collapsed="false">
      <c r="A64" s="5" t="s">
        <v>163</v>
      </c>
      <c r="B64" s="5" t="s">
        <v>484</v>
      </c>
      <c r="C64" s="5" t="s">
        <v>79</v>
      </c>
      <c r="D64" s="5" t="s">
        <v>468</v>
      </c>
      <c r="E64" s="5" t="s">
        <v>469</v>
      </c>
      <c r="F64" s="5" t="s">
        <v>282</v>
      </c>
      <c r="G64" s="5" t="s">
        <v>282</v>
      </c>
      <c r="H64" s="5" t="s">
        <v>274</v>
      </c>
    </row>
    <row r="65" customFormat="false" ht="15" hidden="false" customHeight="false" outlineLevel="0" collapsed="false">
      <c r="A65" s="5" t="s">
        <v>165</v>
      </c>
      <c r="B65" s="5" t="s">
        <v>485</v>
      </c>
      <c r="C65" s="5" t="s">
        <v>42</v>
      </c>
      <c r="D65" s="5" t="s">
        <v>468</v>
      </c>
      <c r="E65" s="5" t="s">
        <v>469</v>
      </c>
      <c r="F65" s="5" t="s">
        <v>272</v>
      </c>
      <c r="G65" s="5" t="s">
        <v>282</v>
      </c>
      <c r="H65" s="5" t="s">
        <v>274</v>
      </c>
    </row>
    <row r="66" customFormat="false" ht="15" hidden="false" customHeight="false" outlineLevel="0" collapsed="false">
      <c r="A66" s="5" t="s">
        <v>167</v>
      </c>
      <c r="B66" s="5" t="s">
        <v>486</v>
      </c>
      <c r="C66" s="5" t="s">
        <v>34</v>
      </c>
      <c r="D66" s="5" t="s">
        <v>468</v>
      </c>
      <c r="E66" s="5" t="s">
        <v>469</v>
      </c>
      <c r="F66" s="5" t="s">
        <v>487</v>
      </c>
      <c r="G66" s="5" t="s">
        <v>282</v>
      </c>
      <c r="H66" s="5" t="s">
        <v>274</v>
      </c>
    </row>
    <row r="67" customFormat="false" ht="23.85" hidden="false" customHeight="false" outlineLevel="0" collapsed="false">
      <c r="A67" s="5" t="s">
        <v>169</v>
      </c>
      <c r="B67" s="5" t="s">
        <v>488</v>
      </c>
      <c r="C67" s="5" t="s">
        <v>26</v>
      </c>
      <c r="D67" s="5" t="s">
        <v>489</v>
      </c>
      <c r="E67" s="5" t="s">
        <v>490</v>
      </c>
      <c r="F67" s="5" t="s">
        <v>491</v>
      </c>
      <c r="G67" s="5" t="s">
        <v>273</v>
      </c>
      <c r="H67" s="5" t="s">
        <v>274</v>
      </c>
    </row>
    <row r="68" customFormat="false" ht="23.85" hidden="false" customHeight="false" outlineLevel="0" collapsed="false">
      <c r="A68" s="5" t="s">
        <v>169</v>
      </c>
      <c r="B68" s="5" t="s">
        <v>492</v>
      </c>
      <c r="C68" s="5" t="s">
        <v>53</v>
      </c>
      <c r="D68" s="5" t="s">
        <v>493</v>
      </c>
      <c r="E68" s="5" t="s">
        <v>494</v>
      </c>
      <c r="F68" s="5" t="s">
        <v>495</v>
      </c>
      <c r="G68" s="5" t="s">
        <v>305</v>
      </c>
      <c r="H68" s="5" t="s">
        <v>274</v>
      </c>
    </row>
    <row r="69" customFormat="false" ht="15" hidden="false" customHeight="false" outlineLevel="0" collapsed="false">
      <c r="A69" s="5" t="s">
        <v>173</v>
      </c>
      <c r="B69" s="5" t="s">
        <v>496</v>
      </c>
      <c r="C69" s="5" t="s">
        <v>31</v>
      </c>
      <c r="D69" s="5" t="s">
        <v>497</v>
      </c>
      <c r="E69" s="5" t="s">
        <v>498</v>
      </c>
      <c r="F69" s="5" t="s">
        <v>499</v>
      </c>
      <c r="G69" s="5" t="s">
        <v>325</v>
      </c>
      <c r="H69" s="5" t="s">
        <v>274</v>
      </c>
    </row>
    <row r="70" customFormat="false" ht="15" hidden="false" customHeight="false" outlineLevel="0" collapsed="false">
      <c r="A70" s="5" t="s">
        <v>173</v>
      </c>
      <c r="B70" s="5" t="s">
        <v>500</v>
      </c>
      <c r="C70" s="5" t="s">
        <v>48</v>
      </c>
      <c r="D70" s="5" t="s">
        <v>501</v>
      </c>
      <c r="E70" s="5" t="s">
        <v>502</v>
      </c>
      <c r="F70" s="5" t="s">
        <v>495</v>
      </c>
      <c r="G70" s="5" t="s">
        <v>301</v>
      </c>
      <c r="H70" s="5" t="s">
        <v>274</v>
      </c>
    </row>
    <row r="71" customFormat="false" ht="15" hidden="false" customHeight="false" outlineLevel="0" collapsed="false">
      <c r="A71" s="5" t="s">
        <v>176</v>
      </c>
      <c r="B71" s="5" t="s">
        <v>503</v>
      </c>
      <c r="C71" s="5" t="s">
        <v>26</v>
      </c>
      <c r="D71" s="5" t="s">
        <v>504</v>
      </c>
      <c r="E71" s="5" t="s">
        <v>505</v>
      </c>
      <c r="F71" s="5" t="s">
        <v>506</v>
      </c>
      <c r="G71" s="5" t="s">
        <v>273</v>
      </c>
      <c r="H71" s="5" t="s">
        <v>274</v>
      </c>
    </row>
    <row r="72" customFormat="false" ht="15" hidden="false" customHeight="false" outlineLevel="0" collapsed="false">
      <c r="A72" s="5" t="s">
        <v>176</v>
      </c>
      <c r="B72" s="5" t="s">
        <v>507</v>
      </c>
      <c r="C72" s="5" t="s">
        <v>48</v>
      </c>
      <c r="D72" s="5" t="s">
        <v>508</v>
      </c>
      <c r="E72" s="5" t="s">
        <v>509</v>
      </c>
      <c r="F72" s="5" t="s">
        <v>495</v>
      </c>
      <c r="G72" s="5" t="s">
        <v>301</v>
      </c>
      <c r="H72" s="5" t="s">
        <v>274</v>
      </c>
    </row>
    <row r="73" customFormat="false" ht="23.85" hidden="false" customHeight="false" outlineLevel="0" collapsed="false">
      <c r="A73" s="5" t="s">
        <v>179</v>
      </c>
      <c r="B73" s="5" t="s">
        <v>510</v>
      </c>
      <c r="C73" s="5" t="s">
        <v>66</v>
      </c>
      <c r="D73" s="5" t="s">
        <v>511</v>
      </c>
      <c r="E73" s="5" t="s">
        <v>512</v>
      </c>
      <c r="F73" s="5" t="s">
        <v>513</v>
      </c>
      <c r="G73" s="5" t="s">
        <v>288</v>
      </c>
      <c r="H73" s="5" t="s">
        <v>274</v>
      </c>
    </row>
    <row r="74" customFormat="false" ht="23.85" hidden="false" customHeight="false" outlineLevel="0" collapsed="false">
      <c r="A74" s="5" t="s">
        <v>179</v>
      </c>
      <c r="B74" s="5" t="s">
        <v>514</v>
      </c>
      <c r="C74" s="5" t="s">
        <v>42</v>
      </c>
      <c r="D74" s="5" t="s">
        <v>515</v>
      </c>
      <c r="E74" s="5" t="s">
        <v>516</v>
      </c>
      <c r="F74" s="5" t="s">
        <v>495</v>
      </c>
      <c r="G74" s="5" t="s">
        <v>330</v>
      </c>
      <c r="H74" s="5" t="s">
        <v>274</v>
      </c>
    </row>
    <row r="75" customFormat="false" ht="23.85" hidden="false" customHeight="false" outlineLevel="0" collapsed="false">
      <c r="A75" s="5" t="s">
        <v>182</v>
      </c>
      <c r="B75" s="5" t="s">
        <v>517</v>
      </c>
      <c r="C75" s="5" t="s">
        <v>34</v>
      </c>
      <c r="D75" s="5" t="s">
        <v>518</v>
      </c>
      <c r="E75" s="5" t="s">
        <v>519</v>
      </c>
      <c r="F75" s="5" t="s">
        <v>520</v>
      </c>
      <c r="G75" s="5" t="s">
        <v>335</v>
      </c>
      <c r="H75" s="5" t="s">
        <v>274</v>
      </c>
    </row>
    <row r="76" customFormat="false" ht="15" hidden="false" customHeight="false" outlineLevel="0" collapsed="false">
      <c r="A76" s="5" t="s">
        <v>182</v>
      </c>
      <c r="B76" s="5" t="s">
        <v>521</v>
      </c>
      <c r="C76" s="5" t="s">
        <v>79</v>
      </c>
      <c r="D76" s="5" t="s">
        <v>522</v>
      </c>
      <c r="E76" s="5" t="s">
        <v>523</v>
      </c>
      <c r="F76" s="5" t="s">
        <v>495</v>
      </c>
      <c r="G76" s="5" t="s">
        <v>335</v>
      </c>
      <c r="H76" s="5" t="s">
        <v>274</v>
      </c>
    </row>
    <row r="77" customFormat="false" ht="15" hidden="false" customHeight="false" outlineLevel="0" collapsed="false">
      <c r="A77" s="5" t="s">
        <v>185</v>
      </c>
      <c r="B77" s="5" t="s">
        <v>524</v>
      </c>
      <c r="C77" s="5" t="s">
        <v>26</v>
      </c>
      <c r="D77" s="5" t="s">
        <v>525</v>
      </c>
      <c r="E77" s="5" t="s">
        <v>526</v>
      </c>
      <c r="F77" s="5" t="s">
        <v>527</v>
      </c>
      <c r="G77" s="5" t="s">
        <v>288</v>
      </c>
      <c r="H77" s="5" t="s">
        <v>274</v>
      </c>
    </row>
    <row r="78" customFormat="false" ht="15" hidden="false" customHeight="false" outlineLevel="0" collapsed="false">
      <c r="A78" s="5" t="s">
        <v>185</v>
      </c>
      <c r="B78" s="5" t="s">
        <v>528</v>
      </c>
      <c r="C78" s="5" t="s">
        <v>53</v>
      </c>
      <c r="D78" s="5" t="s">
        <v>529</v>
      </c>
      <c r="E78" s="5" t="s">
        <v>530</v>
      </c>
      <c r="F78" s="5" t="s">
        <v>495</v>
      </c>
      <c r="G78" s="5" t="s">
        <v>288</v>
      </c>
      <c r="H78" s="5" t="s">
        <v>274</v>
      </c>
    </row>
    <row r="79" customFormat="false" ht="23.85" hidden="false" customHeight="false" outlineLevel="0" collapsed="false">
      <c r="A79" s="5" t="s">
        <v>187</v>
      </c>
      <c r="B79" s="5" t="s">
        <v>531</v>
      </c>
      <c r="C79" s="5" t="s">
        <v>37</v>
      </c>
      <c r="D79" s="5" t="s">
        <v>532</v>
      </c>
      <c r="E79" s="5" t="s">
        <v>533</v>
      </c>
      <c r="F79" s="5" t="s">
        <v>534</v>
      </c>
      <c r="G79" s="5" t="s">
        <v>283</v>
      </c>
      <c r="H79" s="5" t="s">
        <v>274</v>
      </c>
    </row>
    <row r="80" customFormat="false" ht="15" hidden="false" customHeight="false" outlineLevel="0" collapsed="false">
      <c r="A80" s="5" t="s">
        <v>187</v>
      </c>
      <c r="B80" s="5" t="s">
        <v>535</v>
      </c>
      <c r="C80" s="5" t="s">
        <v>48</v>
      </c>
      <c r="D80" s="5" t="s">
        <v>536</v>
      </c>
      <c r="E80" s="5" t="s">
        <v>537</v>
      </c>
      <c r="F80" s="5" t="s">
        <v>495</v>
      </c>
      <c r="G80" s="5" t="s">
        <v>273</v>
      </c>
      <c r="H80" s="5" t="s">
        <v>274</v>
      </c>
    </row>
    <row r="81" customFormat="false" ht="23.85" hidden="false" customHeight="false" outlineLevel="0" collapsed="false">
      <c r="A81" s="5" t="s">
        <v>190</v>
      </c>
      <c r="B81" s="5" t="s">
        <v>538</v>
      </c>
      <c r="C81" s="5" t="s">
        <v>26</v>
      </c>
      <c r="D81" s="5" t="s">
        <v>539</v>
      </c>
      <c r="E81" s="5" t="s">
        <v>540</v>
      </c>
      <c r="F81" s="5" t="s">
        <v>541</v>
      </c>
      <c r="G81" s="5" t="s">
        <v>273</v>
      </c>
      <c r="H81" s="5" t="s">
        <v>274</v>
      </c>
    </row>
    <row r="82" customFormat="false" ht="23.85" hidden="false" customHeight="false" outlineLevel="0" collapsed="false">
      <c r="A82" s="5" t="s">
        <v>190</v>
      </c>
      <c r="B82" s="5" t="s">
        <v>542</v>
      </c>
      <c r="C82" s="5" t="s">
        <v>34</v>
      </c>
      <c r="D82" s="5" t="s">
        <v>543</v>
      </c>
      <c r="E82" s="5" t="s">
        <v>544</v>
      </c>
      <c r="F82" s="5" t="s">
        <v>495</v>
      </c>
      <c r="G82" s="5" t="s">
        <v>288</v>
      </c>
      <c r="H82" s="5" t="s">
        <v>274</v>
      </c>
    </row>
    <row r="83" customFormat="false" ht="23.85" hidden="false" customHeight="false" outlineLevel="0" collapsed="false">
      <c r="A83" s="5" t="s">
        <v>193</v>
      </c>
      <c r="B83" s="5" t="s">
        <v>545</v>
      </c>
      <c r="C83" s="5" t="s">
        <v>79</v>
      </c>
      <c r="D83" s="5" t="s">
        <v>546</v>
      </c>
      <c r="E83" s="5" t="s">
        <v>547</v>
      </c>
      <c r="F83" s="5" t="s">
        <v>548</v>
      </c>
      <c r="G83" s="5" t="s">
        <v>273</v>
      </c>
      <c r="H83" s="5" t="s">
        <v>274</v>
      </c>
    </row>
    <row r="84" customFormat="false" ht="23.85" hidden="false" customHeight="false" outlineLevel="0" collapsed="false">
      <c r="A84" s="5" t="s">
        <v>193</v>
      </c>
      <c r="B84" s="5" t="s">
        <v>549</v>
      </c>
      <c r="C84" s="5" t="s">
        <v>26</v>
      </c>
      <c r="D84" s="5" t="s">
        <v>550</v>
      </c>
      <c r="E84" s="5" t="s">
        <v>551</v>
      </c>
      <c r="F84" s="5" t="s">
        <v>495</v>
      </c>
      <c r="G84" s="5" t="s">
        <v>301</v>
      </c>
      <c r="H84" s="5" t="s">
        <v>274</v>
      </c>
    </row>
    <row r="85" customFormat="false" ht="15" hidden="false" customHeight="false" outlineLevel="0" collapsed="false">
      <c r="A85" s="5" t="s">
        <v>196</v>
      </c>
      <c r="B85" s="5" t="s">
        <v>552</v>
      </c>
      <c r="C85" s="5" t="s">
        <v>79</v>
      </c>
      <c r="D85" s="5" t="s">
        <v>553</v>
      </c>
      <c r="E85" s="5" t="s">
        <v>554</v>
      </c>
      <c r="F85" s="5" t="s">
        <v>555</v>
      </c>
      <c r="G85" s="5" t="s">
        <v>325</v>
      </c>
      <c r="H85" s="5" t="s">
        <v>274</v>
      </c>
    </row>
    <row r="86" customFormat="false" ht="15" hidden="false" customHeight="false" outlineLevel="0" collapsed="false">
      <c r="A86" s="5" t="s">
        <v>196</v>
      </c>
      <c r="B86" s="5" t="s">
        <v>556</v>
      </c>
      <c r="C86" s="5" t="s">
        <v>31</v>
      </c>
      <c r="D86" s="5" t="s">
        <v>557</v>
      </c>
      <c r="E86" s="5" t="s">
        <v>558</v>
      </c>
      <c r="F86" s="5" t="s">
        <v>495</v>
      </c>
      <c r="G86" s="5" t="s">
        <v>325</v>
      </c>
      <c r="H86" s="5" t="s">
        <v>274</v>
      </c>
    </row>
    <row r="87" customFormat="false" ht="23.85" hidden="false" customHeight="false" outlineLevel="0" collapsed="false">
      <c r="A87" s="5" t="s">
        <v>199</v>
      </c>
      <c r="B87" s="5" t="s">
        <v>559</v>
      </c>
      <c r="C87" s="5" t="s">
        <v>53</v>
      </c>
      <c r="D87" s="5" t="s">
        <v>560</v>
      </c>
      <c r="E87" s="5" t="s">
        <v>561</v>
      </c>
      <c r="F87" s="5" t="s">
        <v>562</v>
      </c>
      <c r="G87" s="5" t="s">
        <v>273</v>
      </c>
      <c r="H87" s="5" t="s">
        <v>274</v>
      </c>
    </row>
    <row r="88" customFormat="false" ht="15" hidden="false" customHeight="false" outlineLevel="0" collapsed="false">
      <c r="A88" s="5" t="s">
        <v>199</v>
      </c>
      <c r="B88" s="5" t="s">
        <v>563</v>
      </c>
      <c r="C88" s="5" t="s">
        <v>26</v>
      </c>
      <c r="D88" s="5" t="s">
        <v>564</v>
      </c>
      <c r="E88" s="5" t="s">
        <v>565</v>
      </c>
      <c r="F88" s="5" t="s">
        <v>495</v>
      </c>
      <c r="G88" s="5" t="s">
        <v>273</v>
      </c>
      <c r="H88" s="5" t="s">
        <v>274</v>
      </c>
    </row>
    <row r="89" customFormat="false" ht="23.85" hidden="false" customHeight="false" outlineLevel="0" collapsed="false">
      <c r="A89" s="5" t="s">
        <v>202</v>
      </c>
      <c r="B89" s="5" t="s">
        <v>566</v>
      </c>
      <c r="C89" s="5" t="s">
        <v>26</v>
      </c>
      <c r="D89" s="5" t="s">
        <v>567</v>
      </c>
      <c r="E89" s="5" t="s">
        <v>568</v>
      </c>
      <c r="F89" s="5" t="s">
        <v>569</v>
      </c>
      <c r="G89" s="5" t="s">
        <v>288</v>
      </c>
      <c r="H89" s="5" t="s">
        <v>274</v>
      </c>
    </row>
    <row r="90" customFormat="false" ht="15" hidden="false" customHeight="false" outlineLevel="0" collapsed="false">
      <c r="A90" s="5" t="s">
        <v>202</v>
      </c>
      <c r="B90" s="5" t="s">
        <v>570</v>
      </c>
      <c r="C90" s="5" t="s">
        <v>42</v>
      </c>
      <c r="D90" s="5" t="s">
        <v>571</v>
      </c>
      <c r="E90" s="5" t="s">
        <v>572</v>
      </c>
      <c r="F90" s="5" t="s">
        <v>495</v>
      </c>
      <c r="G90" s="5" t="s">
        <v>288</v>
      </c>
      <c r="H90" s="5" t="s">
        <v>274</v>
      </c>
    </row>
    <row r="91" customFormat="false" ht="15" hidden="false" customHeight="false" outlineLevel="0" collapsed="false">
      <c r="A91" s="5" t="s">
        <v>205</v>
      </c>
      <c r="B91" s="5" t="s">
        <v>573</v>
      </c>
      <c r="C91" s="5" t="s">
        <v>26</v>
      </c>
      <c r="D91" s="5" t="s">
        <v>574</v>
      </c>
      <c r="E91" s="5" t="s">
        <v>575</v>
      </c>
      <c r="F91" s="5" t="s">
        <v>576</v>
      </c>
      <c r="G91" s="5" t="s">
        <v>283</v>
      </c>
      <c r="H91" s="5" t="s">
        <v>274</v>
      </c>
    </row>
    <row r="92" customFormat="false" ht="15" hidden="false" customHeight="false" outlineLevel="0" collapsed="false">
      <c r="A92" s="5" t="s">
        <v>205</v>
      </c>
      <c r="B92" s="5" t="s">
        <v>577</v>
      </c>
      <c r="C92" s="5" t="s">
        <v>53</v>
      </c>
      <c r="D92" s="5" t="s">
        <v>578</v>
      </c>
      <c r="E92" s="5" t="s">
        <v>579</v>
      </c>
      <c r="F92" s="5" t="s">
        <v>495</v>
      </c>
      <c r="G92" s="5" t="s">
        <v>325</v>
      </c>
      <c r="H92" s="5" t="s">
        <v>274</v>
      </c>
    </row>
    <row r="93" customFormat="false" ht="23.85" hidden="false" customHeight="false" outlineLevel="0" collapsed="false">
      <c r="A93" s="5" t="s">
        <v>207</v>
      </c>
      <c r="B93" s="5" t="s">
        <v>580</v>
      </c>
      <c r="C93" s="5" t="s">
        <v>45</v>
      </c>
      <c r="D93" s="5" t="s">
        <v>581</v>
      </c>
      <c r="E93" s="5" t="s">
        <v>582</v>
      </c>
      <c r="F93" s="5" t="s">
        <v>583</v>
      </c>
      <c r="G93" s="5" t="s">
        <v>330</v>
      </c>
      <c r="H93" s="5" t="s">
        <v>274</v>
      </c>
    </row>
    <row r="94" customFormat="false" ht="15" hidden="false" customHeight="false" outlineLevel="0" collapsed="false">
      <c r="A94" s="5" t="s">
        <v>207</v>
      </c>
      <c r="B94" s="5" t="s">
        <v>584</v>
      </c>
      <c r="C94" s="5" t="s">
        <v>34</v>
      </c>
      <c r="D94" s="5" t="s">
        <v>585</v>
      </c>
      <c r="E94" s="5" t="s">
        <v>586</v>
      </c>
      <c r="F94" s="5" t="s">
        <v>495</v>
      </c>
      <c r="G94" s="5" t="s">
        <v>283</v>
      </c>
      <c r="H94" s="5" t="s">
        <v>274</v>
      </c>
    </row>
    <row r="95" customFormat="false" ht="15" hidden="false" customHeight="false" outlineLevel="0" collapsed="false">
      <c r="A95" s="5" t="s">
        <v>210</v>
      </c>
      <c r="B95" s="5" t="s">
        <v>587</v>
      </c>
      <c r="C95" s="5" t="s">
        <v>34</v>
      </c>
      <c r="D95" s="5" t="s">
        <v>588</v>
      </c>
      <c r="E95" s="5" t="s">
        <v>589</v>
      </c>
      <c r="F95" s="5" t="s">
        <v>590</v>
      </c>
      <c r="G95" s="5" t="s">
        <v>273</v>
      </c>
      <c r="H95" s="5" t="s">
        <v>274</v>
      </c>
    </row>
    <row r="96" customFormat="false" ht="15" hidden="false" customHeight="false" outlineLevel="0" collapsed="false">
      <c r="A96" s="5" t="s">
        <v>210</v>
      </c>
      <c r="B96" s="5" t="s">
        <v>591</v>
      </c>
      <c r="C96" s="5" t="s">
        <v>45</v>
      </c>
      <c r="D96" s="5" t="s">
        <v>592</v>
      </c>
      <c r="E96" s="5" t="s">
        <v>593</v>
      </c>
      <c r="F96" s="5" t="s">
        <v>495</v>
      </c>
      <c r="G96" s="5" t="s">
        <v>273</v>
      </c>
      <c r="H96" s="5" t="s">
        <v>274</v>
      </c>
    </row>
    <row r="97" customFormat="false" ht="23.85" hidden="false" customHeight="false" outlineLevel="0" collapsed="false">
      <c r="A97" s="5" t="s">
        <v>213</v>
      </c>
      <c r="B97" s="5" t="s">
        <v>594</v>
      </c>
      <c r="C97" s="5" t="s">
        <v>26</v>
      </c>
      <c r="D97" s="5" t="s">
        <v>595</v>
      </c>
      <c r="E97" s="5" t="s">
        <v>596</v>
      </c>
      <c r="F97" s="5" t="s">
        <v>597</v>
      </c>
      <c r="G97" s="5" t="s">
        <v>305</v>
      </c>
      <c r="H97" s="5" t="s">
        <v>274</v>
      </c>
    </row>
    <row r="98" customFormat="false" ht="23.85" hidden="false" customHeight="false" outlineLevel="0" collapsed="false">
      <c r="A98" s="5" t="s">
        <v>213</v>
      </c>
      <c r="B98" s="5" t="s">
        <v>598</v>
      </c>
      <c r="C98" s="5" t="s">
        <v>48</v>
      </c>
      <c r="D98" s="5" t="s">
        <v>599</v>
      </c>
      <c r="E98" s="5" t="s">
        <v>600</v>
      </c>
      <c r="F98" s="5" t="s">
        <v>495</v>
      </c>
      <c r="G98" s="5" t="s">
        <v>305</v>
      </c>
      <c r="H98" s="5" t="s">
        <v>274</v>
      </c>
    </row>
    <row r="99" customFormat="false" ht="23.85" hidden="false" customHeight="false" outlineLevel="0" collapsed="false">
      <c r="A99" s="5" t="s">
        <v>215</v>
      </c>
      <c r="B99" s="5" t="s">
        <v>601</v>
      </c>
      <c r="C99" s="5" t="s">
        <v>26</v>
      </c>
      <c r="D99" s="5" t="s">
        <v>602</v>
      </c>
      <c r="E99" s="5" t="s">
        <v>603</v>
      </c>
      <c r="F99" s="5" t="s">
        <v>604</v>
      </c>
      <c r="G99" s="5" t="s">
        <v>335</v>
      </c>
      <c r="H99" s="5" t="s">
        <v>274</v>
      </c>
    </row>
    <row r="100" customFormat="false" ht="15" hidden="false" customHeight="false" outlineLevel="0" collapsed="false">
      <c r="A100" s="5" t="s">
        <v>215</v>
      </c>
      <c r="B100" s="5" t="s">
        <v>605</v>
      </c>
      <c r="C100" s="5" t="s">
        <v>53</v>
      </c>
      <c r="D100" s="5" t="s">
        <v>606</v>
      </c>
      <c r="E100" s="5" t="s">
        <v>607</v>
      </c>
      <c r="F100" s="5" t="s">
        <v>495</v>
      </c>
      <c r="G100" s="5" t="s">
        <v>335</v>
      </c>
      <c r="H100" s="5" t="s">
        <v>274</v>
      </c>
    </row>
    <row r="101" customFormat="false" ht="15" hidden="false" customHeight="false" outlineLevel="0" collapsed="false">
      <c r="A101" s="5" t="s">
        <v>217</v>
      </c>
      <c r="B101" s="5" t="s">
        <v>608</v>
      </c>
      <c r="C101" s="5" t="s">
        <v>31</v>
      </c>
      <c r="D101" s="5" t="s">
        <v>609</v>
      </c>
      <c r="E101" s="5" t="s">
        <v>610</v>
      </c>
      <c r="F101" s="5" t="s">
        <v>611</v>
      </c>
      <c r="G101" s="5" t="s">
        <v>273</v>
      </c>
      <c r="H101" s="5" t="s">
        <v>274</v>
      </c>
    </row>
    <row r="102" customFormat="false" ht="15" hidden="false" customHeight="false" outlineLevel="0" collapsed="false">
      <c r="A102" s="5" t="s">
        <v>217</v>
      </c>
      <c r="B102" s="5" t="s">
        <v>612</v>
      </c>
      <c r="C102" s="5" t="s">
        <v>48</v>
      </c>
      <c r="D102" s="5" t="s">
        <v>613</v>
      </c>
      <c r="E102" s="5" t="s">
        <v>614</v>
      </c>
      <c r="F102" s="5" t="s">
        <v>495</v>
      </c>
      <c r="G102" s="5" t="s">
        <v>273</v>
      </c>
      <c r="H102" s="5" t="s">
        <v>274</v>
      </c>
    </row>
    <row r="103" customFormat="false" ht="23.85" hidden="false" customHeight="false" outlineLevel="0" collapsed="false">
      <c r="A103" s="5" t="s">
        <v>219</v>
      </c>
      <c r="B103" s="5" t="s">
        <v>615</v>
      </c>
      <c r="C103" s="5" t="s">
        <v>31</v>
      </c>
      <c r="D103" s="5" t="s">
        <v>616</v>
      </c>
      <c r="E103" s="5" t="s">
        <v>617</v>
      </c>
      <c r="F103" s="5" t="s">
        <v>282</v>
      </c>
      <c r="G103" s="5" t="s">
        <v>330</v>
      </c>
      <c r="H103" s="5" t="s">
        <v>274</v>
      </c>
    </row>
    <row r="104" customFormat="false" ht="15" hidden="false" customHeight="false" outlineLevel="0" collapsed="false">
      <c r="A104" s="5" t="s">
        <v>219</v>
      </c>
      <c r="B104" s="5" t="s">
        <v>326</v>
      </c>
      <c r="C104" s="5" t="s">
        <v>42</v>
      </c>
      <c r="D104" s="5" t="s">
        <v>618</v>
      </c>
      <c r="E104" s="5" t="s">
        <v>619</v>
      </c>
      <c r="F104" s="5" t="s">
        <v>495</v>
      </c>
      <c r="G104" s="5" t="s">
        <v>330</v>
      </c>
      <c r="H104" s="5" t="s">
        <v>274</v>
      </c>
    </row>
    <row r="105" customFormat="false" ht="15" hidden="false" customHeight="false" outlineLevel="0" collapsed="false">
      <c r="A105" s="5" t="s">
        <v>222</v>
      </c>
      <c r="B105" s="5" t="s">
        <v>620</v>
      </c>
      <c r="C105" s="5" t="s">
        <v>31</v>
      </c>
      <c r="D105" s="5" t="s">
        <v>621</v>
      </c>
      <c r="E105" s="5" t="s">
        <v>622</v>
      </c>
      <c r="F105" s="5" t="s">
        <v>623</v>
      </c>
      <c r="G105" s="5" t="s">
        <v>301</v>
      </c>
      <c r="H105" s="5" t="s">
        <v>274</v>
      </c>
    </row>
    <row r="106" customFormat="false" ht="15" hidden="false" customHeight="false" outlineLevel="0" collapsed="false">
      <c r="A106" s="5" t="s">
        <v>222</v>
      </c>
      <c r="B106" s="5" t="s">
        <v>624</v>
      </c>
      <c r="C106" s="5" t="s">
        <v>53</v>
      </c>
      <c r="D106" s="5" t="s">
        <v>625</v>
      </c>
      <c r="E106" s="5" t="s">
        <v>626</v>
      </c>
      <c r="F106" s="5" t="s">
        <v>495</v>
      </c>
      <c r="G106" s="5" t="s">
        <v>283</v>
      </c>
      <c r="H106" s="5" t="s">
        <v>274</v>
      </c>
    </row>
    <row r="107" customFormat="false" ht="15" hidden="false" customHeight="false" outlineLevel="0" collapsed="false">
      <c r="A107" s="5" t="s">
        <v>225</v>
      </c>
      <c r="B107" s="5" t="s">
        <v>627</v>
      </c>
      <c r="C107" s="5" t="s">
        <v>26</v>
      </c>
      <c r="D107" s="5" t="s">
        <v>628</v>
      </c>
      <c r="E107" s="5" t="s">
        <v>629</v>
      </c>
      <c r="F107" s="5" t="s">
        <v>405</v>
      </c>
      <c r="G107" s="5" t="s">
        <v>273</v>
      </c>
      <c r="H107" s="5" t="s">
        <v>274</v>
      </c>
    </row>
    <row r="108" customFormat="false" ht="15" hidden="false" customHeight="false" outlineLevel="0" collapsed="false">
      <c r="A108" s="5" t="s">
        <v>225</v>
      </c>
      <c r="B108" s="5" t="s">
        <v>630</v>
      </c>
      <c r="C108" s="5" t="s">
        <v>53</v>
      </c>
      <c r="D108" s="5" t="s">
        <v>628</v>
      </c>
      <c r="E108" s="5" t="s">
        <v>629</v>
      </c>
      <c r="F108" s="5" t="s">
        <v>495</v>
      </c>
      <c r="G108" s="5" t="s">
        <v>273</v>
      </c>
      <c r="H108" s="5" t="s">
        <v>274</v>
      </c>
    </row>
    <row r="109" customFormat="false" ht="23.85" hidden="false" customHeight="false" outlineLevel="0" collapsed="false">
      <c r="A109" s="5" t="s">
        <v>228</v>
      </c>
      <c r="B109" s="5" t="s">
        <v>631</v>
      </c>
      <c r="C109" s="5" t="s">
        <v>31</v>
      </c>
      <c r="D109" s="5" t="s">
        <v>632</v>
      </c>
      <c r="E109" s="5" t="s">
        <v>633</v>
      </c>
      <c r="F109" s="5" t="s">
        <v>634</v>
      </c>
      <c r="G109" s="5" t="s">
        <v>288</v>
      </c>
      <c r="H109" s="5" t="s">
        <v>274</v>
      </c>
    </row>
    <row r="110" customFormat="false" ht="23.85" hidden="false" customHeight="false" outlineLevel="0" collapsed="false">
      <c r="A110" s="5" t="s">
        <v>228</v>
      </c>
      <c r="B110" s="5" t="s">
        <v>635</v>
      </c>
      <c r="C110" s="5" t="s">
        <v>48</v>
      </c>
      <c r="D110" s="5" t="s">
        <v>632</v>
      </c>
      <c r="E110" s="5" t="s">
        <v>633</v>
      </c>
      <c r="F110" s="5" t="s">
        <v>495</v>
      </c>
      <c r="G110" s="5" t="s">
        <v>288</v>
      </c>
      <c r="H110" s="5" t="s">
        <v>274</v>
      </c>
    </row>
    <row r="111" customFormat="false" ht="23.85" hidden="false" customHeight="false" outlineLevel="0" collapsed="false">
      <c r="A111" s="5" t="s">
        <v>230</v>
      </c>
      <c r="B111" s="5" t="s">
        <v>636</v>
      </c>
      <c r="C111" s="5" t="s">
        <v>26</v>
      </c>
      <c r="D111" s="5" t="s">
        <v>637</v>
      </c>
      <c r="E111" s="5" t="s">
        <v>638</v>
      </c>
      <c r="F111" s="5" t="s">
        <v>272</v>
      </c>
      <c r="G111" s="5" t="s">
        <v>305</v>
      </c>
      <c r="H111" s="5" t="s">
        <v>274</v>
      </c>
    </row>
    <row r="112" customFormat="false" ht="23.85" hidden="false" customHeight="false" outlineLevel="0" collapsed="false">
      <c r="A112" s="5" t="s">
        <v>230</v>
      </c>
      <c r="B112" s="5" t="s">
        <v>639</v>
      </c>
      <c r="C112" s="5" t="s">
        <v>53</v>
      </c>
      <c r="D112" s="5" t="s">
        <v>637</v>
      </c>
      <c r="E112" s="5" t="s">
        <v>638</v>
      </c>
      <c r="F112" s="5" t="s">
        <v>495</v>
      </c>
      <c r="G112" s="5" t="s">
        <v>305</v>
      </c>
      <c r="H112" s="5" t="s">
        <v>274</v>
      </c>
    </row>
    <row r="113" customFormat="false" ht="15" hidden="false" customHeight="false" outlineLevel="0" collapsed="false">
      <c r="A113" s="5" t="s">
        <v>232</v>
      </c>
      <c r="B113" s="5" t="s">
        <v>640</v>
      </c>
      <c r="C113" s="5" t="s">
        <v>26</v>
      </c>
      <c r="D113" s="5" t="s">
        <v>641</v>
      </c>
      <c r="E113" s="5" t="s">
        <v>642</v>
      </c>
      <c r="F113" s="5" t="s">
        <v>541</v>
      </c>
      <c r="G113" s="5" t="s">
        <v>288</v>
      </c>
      <c r="H113" s="5" t="s">
        <v>274</v>
      </c>
    </row>
    <row r="114" customFormat="false" ht="15" hidden="false" customHeight="false" outlineLevel="0" collapsed="false">
      <c r="A114" s="5" t="s">
        <v>232</v>
      </c>
      <c r="B114" s="5" t="s">
        <v>643</v>
      </c>
      <c r="C114" s="5" t="s">
        <v>45</v>
      </c>
      <c r="D114" s="5" t="s">
        <v>641</v>
      </c>
      <c r="E114" s="5" t="s">
        <v>642</v>
      </c>
      <c r="F114" s="5" t="s">
        <v>495</v>
      </c>
      <c r="G114" s="5" t="s">
        <v>288</v>
      </c>
      <c r="H114" s="5" t="s">
        <v>274</v>
      </c>
    </row>
    <row r="115" customFormat="false" ht="15" hidden="false" customHeight="false" outlineLevel="0" collapsed="false">
      <c r="A115" s="5" t="s">
        <v>235</v>
      </c>
      <c r="B115" s="5" t="s">
        <v>644</v>
      </c>
      <c r="C115" s="5" t="s">
        <v>53</v>
      </c>
      <c r="D115" s="5" t="s">
        <v>645</v>
      </c>
      <c r="E115" s="5" t="s">
        <v>646</v>
      </c>
      <c r="F115" s="5" t="s">
        <v>647</v>
      </c>
      <c r="G115" s="5" t="s">
        <v>301</v>
      </c>
      <c r="H115" s="5" t="s">
        <v>274</v>
      </c>
    </row>
    <row r="116" customFormat="false" ht="15" hidden="false" customHeight="false" outlineLevel="0" collapsed="false">
      <c r="A116" s="5" t="s">
        <v>235</v>
      </c>
      <c r="B116" s="5" t="s">
        <v>648</v>
      </c>
      <c r="C116" s="5" t="s">
        <v>31</v>
      </c>
      <c r="D116" s="5" t="s">
        <v>645</v>
      </c>
      <c r="E116" s="5" t="s">
        <v>646</v>
      </c>
      <c r="F116" s="5" t="s">
        <v>495</v>
      </c>
      <c r="G116" s="5" t="s">
        <v>301</v>
      </c>
      <c r="H116" s="5" t="s">
        <v>274</v>
      </c>
    </row>
    <row r="117" customFormat="false" ht="15" hidden="false" customHeight="false" outlineLevel="0" collapsed="false">
      <c r="A117" s="5" t="s">
        <v>238</v>
      </c>
      <c r="B117" s="5" t="s">
        <v>649</v>
      </c>
      <c r="C117" s="5" t="s">
        <v>37</v>
      </c>
      <c r="D117" s="5"/>
      <c r="E117" s="5" t="s">
        <v>282</v>
      </c>
      <c r="F117" s="5" t="s">
        <v>282</v>
      </c>
      <c r="G117" s="5" t="s">
        <v>282</v>
      </c>
      <c r="H117" s="5" t="s">
        <v>274</v>
      </c>
    </row>
    <row r="118" customFormat="false" ht="15" hidden="false" customHeight="false" outlineLevel="0" collapsed="false">
      <c r="A118" s="5" t="s">
        <v>241</v>
      </c>
      <c r="B118" s="5" t="s">
        <v>650</v>
      </c>
      <c r="C118" s="5" t="s">
        <v>34</v>
      </c>
      <c r="D118" s="5"/>
      <c r="E118" s="5" t="s">
        <v>282</v>
      </c>
      <c r="F118" s="5" t="s">
        <v>282</v>
      </c>
      <c r="G118" s="5" t="s">
        <v>282</v>
      </c>
      <c r="H118" s="5" t="s">
        <v>274</v>
      </c>
    </row>
    <row r="119" customFormat="false" ht="15" hidden="false" customHeight="false" outlineLevel="0" collapsed="false">
      <c r="A119" s="5" t="s">
        <v>243</v>
      </c>
      <c r="B119" s="5" t="s">
        <v>651</v>
      </c>
      <c r="C119" s="5" t="s">
        <v>53</v>
      </c>
      <c r="D119" s="5"/>
      <c r="E119" s="5" t="s">
        <v>282</v>
      </c>
      <c r="F119" s="5" t="s">
        <v>272</v>
      </c>
      <c r="G119" s="5" t="s">
        <v>282</v>
      </c>
      <c r="H119" s="5" t="s">
        <v>274</v>
      </c>
    </row>
    <row r="120" customFormat="false" ht="15" hidden="false" customHeight="false" outlineLevel="0" collapsed="false">
      <c r="A120" s="5" t="s">
        <v>245</v>
      </c>
      <c r="B120" s="5" t="s">
        <v>652</v>
      </c>
      <c r="C120" s="5" t="s">
        <v>31</v>
      </c>
      <c r="D120" s="5"/>
      <c r="E120" s="5" t="s">
        <v>282</v>
      </c>
      <c r="F120" s="5" t="s">
        <v>282</v>
      </c>
      <c r="G120" s="5" t="s">
        <v>282</v>
      </c>
      <c r="H120" s="5" t="s">
        <v>274</v>
      </c>
    </row>
    <row r="121" customFormat="false" ht="15" hidden="false" customHeight="false" outlineLevel="0" collapsed="false">
      <c r="A121" s="5" t="s">
        <v>247</v>
      </c>
      <c r="B121" s="5" t="s">
        <v>653</v>
      </c>
      <c r="C121" s="5" t="s">
        <v>48</v>
      </c>
      <c r="D121" s="5"/>
      <c r="E121" s="5" t="s">
        <v>282</v>
      </c>
      <c r="F121" s="5" t="s">
        <v>513</v>
      </c>
      <c r="G121" s="5" t="s">
        <v>282</v>
      </c>
      <c r="H121" s="5" t="s">
        <v>274</v>
      </c>
    </row>
    <row r="122" customFormat="false" ht="15" hidden="false" customHeight="false" outlineLevel="0" collapsed="false">
      <c r="A122" s="5" t="s">
        <v>249</v>
      </c>
      <c r="B122" s="5"/>
      <c r="C122" s="5" t="s">
        <v>251</v>
      </c>
      <c r="D122" s="5"/>
      <c r="E122" s="5" t="s">
        <v>282</v>
      </c>
      <c r="F122" s="5" t="s">
        <v>654</v>
      </c>
      <c r="G122" s="5" t="s">
        <v>282</v>
      </c>
      <c r="H122" s="5" t="s">
        <v>274</v>
      </c>
    </row>
    <row r="123" customFormat="false" ht="15" hidden="false" customHeight="false" outlineLevel="0" collapsed="false">
      <c r="A123" s="5" t="s">
        <v>253</v>
      </c>
      <c r="B123" s="5"/>
      <c r="C123" s="5" t="s">
        <v>251</v>
      </c>
      <c r="D123" s="5"/>
      <c r="E123" s="5" t="s">
        <v>282</v>
      </c>
      <c r="F123" s="5" t="s">
        <v>655</v>
      </c>
      <c r="G123" s="5" t="s">
        <v>282</v>
      </c>
      <c r="H123" s="5" t="s">
        <v>274</v>
      </c>
    </row>
    <row r="124" customFormat="false" ht="15" hidden="false" customHeight="false" outlineLevel="0" collapsed="false">
      <c r="A124" s="5" t="s">
        <v>255</v>
      </c>
      <c r="B124" s="5"/>
      <c r="C124" s="5" t="s">
        <v>251</v>
      </c>
      <c r="D124" s="5"/>
      <c r="E124" s="5" t="s">
        <v>282</v>
      </c>
      <c r="F124" s="5" t="s">
        <v>317</v>
      </c>
      <c r="G124" s="5" t="s">
        <v>282</v>
      </c>
      <c r="H124" s="5" t="s">
        <v>274</v>
      </c>
    </row>
    <row r="125" customFormat="false" ht="15" hidden="false" customHeight="false" outlineLevel="0" collapsed="false">
      <c r="A125" s="5" t="s">
        <v>257</v>
      </c>
      <c r="B125" s="5"/>
      <c r="C125" s="5" t="s">
        <v>251</v>
      </c>
      <c r="D125" s="5"/>
      <c r="E125" s="5" t="s">
        <v>282</v>
      </c>
      <c r="F125" s="5" t="s">
        <v>656</v>
      </c>
      <c r="G125" s="5" t="s">
        <v>282</v>
      </c>
      <c r="H125" s="5" t="s">
        <v>274</v>
      </c>
    </row>
    <row r="126" customFormat="false" ht="15" hidden="false" customHeight="false" outlineLevel="0" collapsed="false">
      <c r="A126" s="5" t="s">
        <v>259</v>
      </c>
      <c r="B126" s="5"/>
      <c r="C126" s="5" t="s">
        <v>251</v>
      </c>
      <c r="D126" s="5"/>
      <c r="E126" s="5" t="s">
        <v>282</v>
      </c>
      <c r="F126" s="5" t="s">
        <v>657</v>
      </c>
      <c r="G126" s="5" t="s">
        <v>282</v>
      </c>
      <c r="H126" s="5" t="s">
        <v>274</v>
      </c>
    </row>
  </sheetData>
  <autoFilter ref="A1:H126"/>
  <dataValidations count="2">
    <dataValidation allowBlank="true" errorStyle="stop" operator="between" showDropDown="false" showErrorMessage="false" showInputMessage="false" sqref="C2:C500" type="list">
      <formula1>"joy,contentment,pride,gratitude,sadness,anger,fear,stress,guilt,surprise,neutral"</formula1>
      <formula2>0</formula2>
    </dataValidation>
    <dataValidation allowBlank="true" errorStyle="stop" operator="between" showDropDown="false" showErrorMessage="false" showInputMessage="false" sqref="G2:G500" type="list">
      <formula1>"studies_work,health,family,friends,relationships,self,money,other,none"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4"/>
    <col collapsed="false" customWidth="true" hidden="false" outlineLevel="0" max="3" min="3" style="0" width="16"/>
    <col collapsed="false" customWidth="true" hidden="false" outlineLevel="0" max="4" min="4" style="0" width="22"/>
  </cols>
  <sheetData>
    <row r="1" customFormat="false" ht="17.35" hidden="false" customHeight="false" outlineLevel="0" collapsed="false">
      <c r="A1" s="6" t="s">
        <v>658</v>
      </c>
    </row>
    <row r="2" customFormat="false" ht="15" hidden="false" customHeight="false" outlineLevel="0" collapsed="false">
      <c r="A2" s="7" t="s">
        <v>659</v>
      </c>
    </row>
    <row r="4" customFormat="false" ht="15" hidden="false" customHeight="false" outlineLevel="0" collapsed="false">
      <c r="A4" s="8" t="s">
        <v>660</v>
      </c>
      <c r="B4" s="8" t="s">
        <v>661</v>
      </c>
      <c r="C4" s="8" t="s">
        <v>662</v>
      </c>
      <c r="D4" s="8" t="s">
        <v>663</v>
      </c>
    </row>
    <row r="5" customFormat="false" ht="15" hidden="false" customHeight="false" outlineLevel="0" collapsed="false">
      <c r="A5" s="9" t="s">
        <v>27</v>
      </c>
      <c r="B5" s="10" t="n">
        <v>25</v>
      </c>
      <c r="C5" s="9" t="n">
        <f aca="false">COUNTIF(Entries!$F$2:$F$500,A5)</f>
        <v>25</v>
      </c>
      <c r="D5" s="9" t="n">
        <f aca="false">C5-B5</f>
        <v>0</v>
      </c>
    </row>
    <row r="6" customFormat="false" ht="15" hidden="false" customHeight="false" outlineLevel="0" collapsed="false">
      <c r="A6" s="9" t="s">
        <v>88</v>
      </c>
      <c r="B6" s="10" t="n">
        <v>10</v>
      </c>
      <c r="C6" s="9" t="n">
        <f aca="false">COUNTIF(Entries!$F$2:$F$500,A6)</f>
        <v>10</v>
      </c>
      <c r="D6" s="9" t="n">
        <f aca="false">C6-B6</f>
        <v>0</v>
      </c>
    </row>
    <row r="7" customFormat="false" ht="15" hidden="false" customHeight="false" outlineLevel="0" collapsed="false">
      <c r="A7" s="9" t="s">
        <v>109</v>
      </c>
      <c r="B7" s="10" t="n">
        <v>15</v>
      </c>
      <c r="C7" s="9" t="n">
        <f aca="false">COUNTIF(Entries!$F$2:$F$500,A7)</f>
        <v>15</v>
      </c>
      <c r="D7" s="9" t="n">
        <f aca="false">C7-B7</f>
        <v>0</v>
      </c>
    </row>
    <row r="8" customFormat="false" ht="15" hidden="false" customHeight="false" outlineLevel="0" collapsed="false">
      <c r="A8" s="9" t="s">
        <v>140</v>
      </c>
      <c r="B8" s="10" t="n">
        <v>15</v>
      </c>
      <c r="C8" s="9" t="n">
        <f aca="false">COUNTIF(Entries!$F$2:$F$500,A8)</f>
        <v>15</v>
      </c>
      <c r="D8" s="9" t="n">
        <f aca="false">C8-B8</f>
        <v>0</v>
      </c>
    </row>
    <row r="9" customFormat="false" ht="15" hidden="false" customHeight="false" outlineLevel="0" collapsed="false">
      <c r="A9" s="9" t="s">
        <v>172</v>
      </c>
      <c r="B9" s="10" t="n">
        <v>20</v>
      </c>
      <c r="C9" s="9" t="n">
        <f aca="false">COUNTIF(Entries!$F$2:$F$500,A9)</f>
        <v>20</v>
      </c>
      <c r="D9" s="9" t="n">
        <f aca="false">C9-B9</f>
        <v>0</v>
      </c>
    </row>
    <row r="10" customFormat="false" ht="15" hidden="false" customHeight="false" outlineLevel="0" collapsed="false">
      <c r="A10" s="9" t="s">
        <v>227</v>
      </c>
      <c r="B10" s="10" t="n">
        <v>5</v>
      </c>
      <c r="C10" s="9" t="n">
        <f aca="false">COUNTIF(Entries!$F$2:$F$500,A10)</f>
        <v>5</v>
      </c>
      <c r="D10" s="9" t="n">
        <f aca="false">C10-B10</f>
        <v>0</v>
      </c>
    </row>
    <row r="11" customFormat="false" ht="15" hidden="false" customHeight="false" outlineLevel="0" collapsed="false">
      <c r="A11" s="9" t="s">
        <v>240</v>
      </c>
      <c r="B11" s="10" t="n">
        <v>5</v>
      </c>
      <c r="C11" s="9" t="n">
        <f aca="false">COUNTIF(Entries!$F$2:$F$500,A11)</f>
        <v>5</v>
      </c>
      <c r="D11" s="9" t="n">
        <f aca="false">C11-B11</f>
        <v>0</v>
      </c>
    </row>
    <row r="12" customFormat="false" ht="15" hidden="false" customHeight="false" outlineLevel="0" collapsed="false">
      <c r="A12" s="9" t="s">
        <v>252</v>
      </c>
      <c r="B12" s="10" t="n">
        <v>5</v>
      </c>
      <c r="C12" s="9" t="n">
        <f aca="false">COUNTIF(Entries!$F$2:$F$500,A12)</f>
        <v>5</v>
      </c>
      <c r="D12" s="9" t="n">
        <f aca="false">C12-B12</f>
        <v>0</v>
      </c>
    </row>
    <row r="13" customFormat="false" ht="15" hidden="false" customHeight="false" outlineLevel="0" collapsed="false">
      <c r="A13" s="11" t="s">
        <v>664</v>
      </c>
      <c r="B13" s="11" t="n">
        <f aca="false">SUM(B5:B12)</f>
        <v>100</v>
      </c>
      <c r="C13" s="11" t="n">
        <f aca="false">SUM(C5:C12)</f>
        <v>100</v>
      </c>
      <c r="D13" s="11" t="n">
        <f aca="false">C13-B13</f>
        <v>0</v>
      </c>
    </row>
    <row r="15" customFormat="false" ht="15" hidden="false" customHeight="false" outlineLevel="0" collapsed="false">
      <c r="A15" s="8" t="s">
        <v>665</v>
      </c>
      <c r="B15" s="8" t="s">
        <v>666</v>
      </c>
      <c r="C15" s="8" t="s">
        <v>667</v>
      </c>
      <c r="D15" s="8"/>
    </row>
    <row r="16" customFormat="false" ht="15" hidden="false" customHeight="false" outlineLevel="0" collapsed="false">
      <c r="A16" s="9" t="s">
        <v>26</v>
      </c>
      <c r="B16" s="9" t="n">
        <f aca="false">COUNTIF(Pairs!$C$2:$C$500,A16)</f>
        <v>19</v>
      </c>
      <c r="C16" s="12" t="n">
        <f aca="false">IF(SUM($B$16:$B$26)=0,0,B16/SUM($B$16:$B$26))</f>
        <v>0.152</v>
      </c>
    </row>
    <row r="17" customFormat="false" ht="15" hidden="false" customHeight="false" outlineLevel="0" collapsed="false">
      <c r="A17" s="9" t="s">
        <v>66</v>
      </c>
      <c r="B17" s="9" t="n">
        <f aca="false">COUNTIF(Pairs!$C$2:$C$500,A17)</f>
        <v>8</v>
      </c>
      <c r="C17" s="12" t="n">
        <f aca="false">IF(SUM($B$16:$B$26)=0,0,B17/SUM($B$16:$B$26))</f>
        <v>0.064</v>
      </c>
    </row>
    <row r="18" customFormat="false" ht="15" hidden="false" customHeight="false" outlineLevel="0" collapsed="false">
      <c r="A18" s="9" t="s">
        <v>31</v>
      </c>
      <c r="B18" s="9" t="n">
        <f aca="false">COUNTIF(Pairs!$C$2:$C$500,A18)</f>
        <v>13</v>
      </c>
      <c r="C18" s="12" t="n">
        <f aca="false">IF(SUM($B$16:$B$26)=0,0,B18/SUM($B$16:$B$26))</f>
        <v>0.104</v>
      </c>
    </row>
    <row r="19" customFormat="false" ht="15" hidden="false" customHeight="false" outlineLevel="0" collapsed="false">
      <c r="A19" s="9" t="s">
        <v>37</v>
      </c>
      <c r="B19" s="9" t="n">
        <f aca="false">COUNTIF(Pairs!$C$2:$C$500,A19)</f>
        <v>8</v>
      </c>
      <c r="C19" s="12" t="n">
        <f aca="false">IF(SUM($B$16:$B$26)=0,0,B19/SUM($B$16:$B$26))</f>
        <v>0.064</v>
      </c>
    </row>
    <row r="20" customFormat="false" ht="15" hidden="false" customHeight="false" outlineLevel="0" collapsed="false">
      <c r="A20" s="9" t="s">
        <v>48</v>
      </c>
      <c r="B20" s="9" t="n">
        <f aca="false">COUNTIF(Pairs!$C$2:$C$500,A20)</f>
        <v>17</v>
      </c>
      <c r="C20" s="12" t="n">
        <f aca="false">IF(SUM($B$16:$B$26)=0,0,B20/SUM($B$16:$B$26))</f>
        <v>0.136</v>
      </c>
    </row>
    <row r="21" customFormat="false" ht="15" hidden="false" customHeight="false" outlineLevel="0" collapsed="false">
      <c r="A21" s="9" t="s">
        <v>34</v>
      </c>
      <c r="B21" s="9" t="n">
        <f aca="false">COUNTIF(Pairs!$C$2:$C$500,A21)</f>
        <v>13</v>
      </c>
      <c r="C21" s="12" t="n">
        <f aca="false">IF(SUM($B$16:$B$26)=0,0,B21/SUM($B$16:$B$26))</f>
        <v>0.104</v>
      </c>
    </row>
    <row r="22" customFormat="false" ht="15" hidden="false" customHeight="false" outlineLevel="0" collapsed="false">
      <c r="A22" s="9" t="s">
        <v>53</v>
      </c>
      <c r="B22" s="9" t="n">
        <f aca="false">COUNTIF(Pairs!$C$2:$C$500,A22)</f>
        <v>18</v>
      </c>
      <c r="C22" s="12" t="n">
        <f aca="false">IF(SUM($B$16:$B$26)=0,0,B22/SUM($B$16:$B$26))</f>
        <v>0.144</v>
      </c>
    </row>
    <row r="23" customFormat="false" ht="15" hidden="false" customHeight="false" outlineLevel="0" collapsed="false">
      <c r="A23" s="9" t="s">
        <v>42</v>
      </c>
      <c r="B23" s="9" t="n">
        <f aca="false">COUNTIF(Pairs!$C$2:$C$500,A23)</f>
        <v>10</v>
      </c>
      <c r="C23" s="12" t="n">
        <f aca="false">IF(SUM($B$16:$B$26)=0,0,B23/SUM($B$16:$B$26))</f>
        <v>0.08</v>
      </c>
    </row>
    <row r="24" customFormat="false" ht="15" hidden="false" customHeight="false" outlineLevel="0" collapsed="false">
      <c r="A24" s="9" t="s">
        <v>79</v>
      </c>
      <c r="B24" s="9" t="n">
        <f aca="false">COUNTIF(Pairs!$C$2:$C$500,A24)</f>
        <v>7</v>
      </c>
      <c r="C24" s="12" t="n">
        <f aca="false">IF(SUM($B$16:$B$26)=0,0,B24/SUM($B$16:$B$26))</f>
        <v>0.056</v>
      </c>
    </row>
    <row r="25" customFormat="false" ht="15" hidden="false" customHeight="false" outlineLevel="0" collapsed="false">
      <c r="A25" s="9" t="s">
        <v>45</v>
      </c>
      <c r="B25" s="9" t="n">
        <f aca="false">COUNTIF(Pairs!$C$2:$C$500,A25)</f>
        <v>7</v>
      </c>
      <c r="C25" s="12" t="n">
        <f aca="false">IF(SUM($B$16:$B$26)=0,0,B25/SUM($B$16:$B$26))</f>
        <v>0.056</v>
      </c>
    </row>
    <row r="26" customFormat="false" ht="15" hidden="false" customHeight="false" outlineLevel="0" collapsed="false">
      <c r="A26" s="9" t="s">
        <v>251</v>
      </c>
      <c r="B26" s="9" t="n">
        <f aca="false">COUNTIF(Pairs!$C$2:$C$500,A26)</f>
        <v>5</v>
      </c>
      <c r="C26" s="12" t="n">
        <f aca="false">IF(SUM($B$16:$B$26)=0,0,B26/SUM($B$16:$B$26))</f>
        <v>0.04</v>
      </c>
    </row>
    <row r="27" customFormat="false" ht="15" hidden="false" customHeight="false" outlineLevel="0" collapsed="false">
      <c r="A27" s="11" t="s">
        <v>668</v>
      </c>
      <c r="B27" s="11" t="n">
        <f aca="false">SUM(B16:B26)</f>
        <v>125</v>
      </c>
    </row>
    <row r="29" customFormat="false" ht="15" hidden="false" customHeight="false" outlineLevel="0" collapsed="false">
      <c r="A29" s="8" t="s">
        <v>669</v>
      </c>
      <c r="B29" s="8" t="s">
        <v>666</v>
      </c>
      <c r="C29" s="8" t="s">
        <v>667</v>
      </c>
      <c r="D29" s="8"/>
    </row>
    <row r="30" customFormat="false" ht="15" hidden="false" customHeight="false" outlineLevel="0" collapsed="false">
      <c r="A30" s="9" t="s">
        <v>273</v>
      </c>
      <c r="B30" s="9" t="n">
        <f aca="false">COUNTIF(Pairs!$G$2:$G$500,A30)</f>
        <v>27</v>
      </c>
      <c r="C30" s="12" t="n">
        <f aca="false">IF(SUM($B$30:$B$38)=0,0,B30/SUM($B$30:$B$38))</f>
        <v>0.216</v>
      </c>
    </row>
    <row r="31" customFormat="false" ht="15" hidden="false" customHeight="false" outlineLevel="0" collapsed="false">
      <c r="A31" s="9" t="s">
        <v>325</v>
      </c>
      <c r="B31" s="9" t="n">
        <f aca="false">COUNTIF(Pairs!$G$2:$G$500,A31)</f>
        <v>7</v>
      </c>
      <c r="C31" s="12" t="n">
        <f aca="false">IF(SUM($B$30:$B$38)=0,0,B31/SUM($B$30:$B$38))</f>
        <v>0.056</v>
      </c>
    </row>
    <row r="32" customFormat="false" ht="15" hidden="false" customHeight="false" outlineLevel="0" collapsed="false">
      <c r="A32" s="9" t="s">
        <v>288</v>
      </c>
      <c r="B32" s="9" t="n">
        <f aca="false">COUNTIF(Pairs!$G$2:$G$500,A32)</f>
        <v>19</v>
      </c>
      <c r="C32" s="12" t="n">
        <f aca="false">IF(SUM($B$30:$B$38)=0,0,B32/SUM($B$30:$B$38))</f>
        <v>0.152</v>
      </c>
    </row>
    <row r="33" customFormat="false" ht="15" hidden="false" customHeight="false" outlineLevel="0" collapsed="false">
      <c r="A33" s="9" t="s">
        <v>301</v>
      </c>
      <c r="B33" s="9" t="n">
        <f aca="false">COUNTIF(Pairs!$G$2:$G$500,A33)</f>
        <v>12</v>
      </c>
      <c r="C33" s="12" t="n">
        <f aca="false">IF(SUM($B$30:$B$38)=0,0,B33/SUM($B$30:$B$38))</f>
        <v>0.096</v>
      </c>
    </row>
    <row r="34" customFormat="false" ht="15" hidden="false" customHeight="false" outlineLevel="0" collapsed="false">
      <c r="A34" s="9" t="s">
        <v>335</v>
      </c>
      <c r="B34" s="9" t="n">
        <f aca="false">COUNTIF(Pairs!$G$2:$G$500,A34)</f>
        <v>7</v>
      </c>
      <c r="C34" s="12" t="n">
        <f aca="false">IF(SUM($B$30:$B$38)=0,0,B34/SUM($B$30:$B$38))</f>
        <v>0.056</v>
      </c>
    </row>
    <row r="35" customFormat="false" ht="15" hidden="false" customHeight="false" outlineLevel="0" collapsed="false">
      <c r="A35" s="9" t="s">
        <v>305</v>
      </c>
      <c r="B35" s="9" t="n">
        <f aca="false">COUNTIF(Pairs!$G$2:$G$500,A35)</f>
        <v>11</v>
      </c>
      <c r="C35" s="12" t="n">
        <f aca="false">IF(SUM($B$30:$B$38)=0,0,B35/SUM($B$30:$B$38))</f>
        <v>0.088</v>
      </c>
    </row>
    <row r="36" customFormat="false" ht="15" hidden="false" customHeight="false" outlineLevel="0" collapsed="false">
      <c r="A36" s="9" t="s">
        <v>330</v>
      </c>
      <c r="B36" s="9" t="n">
        <f aca="false">COUNTIF(Pairs!$G$2:$G$500,A36)</f>
        <v>6</v>
      </c>
      <c r="C36" s="12" t="n">
        <f aca="false">IF(SUM($B$30:$B$38)=0,0,B36/SUM($B$30:$B$38))</f>
        <v>0.048</v>
      </c>
    </row>
    <row r="37" customFormat="false" ht="15" hidden="false" customHeight="false" outlineLevel="0" collapsed="false">
      <c r="A37" s="9" t="s">
        <v>283</v>
      </c>
      <c r="B37" s="9" t="n">
        <f aca="false">COUNTIF(Pairs!$G$2:$G$500,A37)</f>
        <v>11</v>
      </c>
      <c r="C37" s="12" t="n">
        <f aca="false">IF(SUM($B$30:$B$38)=0,0,B37/SUM($B$30:$B$38))</f>
        <v>0.088</v>
      </c>
    </row>
    <row r="38" customFormat="false" ht="15" hidden="false" customHeight="false" outlineLevel="0" collapsed="false">
      <c r="A38" s="9" t="s">
        <v>282</v>
      </c>
      <c r="B38" s="9" t="n">
        <f aca="false">COUNTIF(Pairs!$G$2:$G$500,A38)</f>
        <v>25</v>
      </c>
      <c r="C38" s="12" t="n">
        <f aca="false">IF(SUM($B$30:$B$38)=0,0,B38/SUM($B$30:$B$38))</f>
        <v>0.2</v>
      </c>
    </row>
    <row r="40" customFormat="false" ht="15" hidden="false" customHeight="false" outlineLevel="0" collapsed="false">
      <c r="A40" s="8" t="s">
        <v>670</v>
      </c>
      <c r="B40" s="8" t="s">
        <v>661</v>
      </c>
      <c r="C40" s="8" t="s">
        <v>662</v>
      </c>
      <c r="D40" s="8" t="s">
        <v>663</v>
      </c>
    </row>
    <row r="41" customFormat="false" ht="15" hidden="false" customHeight="false" outlineLevel="0" collapsed="false">
      <c r="A41" s="9" t="s">
        <v>671</v>
      </c>
      <c r="B41" s="10" t="n">
        <v>20</v>
      </c>
      <c r="C41" s="9" t="n">
        <f aca="false">COUNTIF(Entries!$H$2:$H$500,A41)</f>
        <v>35</v>
      </c>
      <c r="D41" s="9" t="n">
        <f aca="false">C41-B41</f>
        <v>15</v>
      </c>
    </row>
    <row r="42" customFormat="false" ht="15" hidden="false" customHeight="false" outlineLevel="0" collapsed="false">
      <c r="A42" s="9" t="s">
        <v>672</v>
      </c>
      <c r="B42" s="10" t="n">
        <v>50</v>
      </c>
      <c r="C42" s="9" t="n">
        <f aca="false">COUNTIF(Entries!$H$2:$H$500,A42)</f>
        <v>46</v>
      </c>
      <c r="D42" s="9" t="n">
        <f aca="false">C42-B42</f>
        <v>-4</v>
      </c>
    </row>
    <row r="43" customFormat="false" ht="15" hidden="false" customHeight="false" outlineLevel="0" collapsed="false">
      <c r="A43" s="9" t="s">
        <v>673</v>
      </c>
      <c r="B43" s="10" t="n">
        <v>25</v>
      </c>
      <c r="C43" s="9" t="n">
        <f aca="false">COUNTIF(Entries!$H$2:$H$500,A43)</f>
        <v>16</v>
      </c>
      <c r="D43" s="9" t="n">
        <f aca="false">C43-B43</f>
        <v>-9</v>
      </c>
    </row>
    <row r="44" customFormat="false" ht="15" hidden="false" customHeight="false" outlineLevel="0" collapsed="false">
      <c r="A44" s="9" t="s">
        <v>674</v>
      </c>
      <c r="B44" s="10" t="n">
        <v>5</v>
      </c>
      <c r="C44" s="9" t="n">
        <f aca="false">COUNTIF(Entries!$H$2:$H$500,A44)</f>
        <v>3</v>
      </c>
      <c r="D44" s="9" t="n">
        <f aca="false">C44-B44</f>
        <v>-2</v>
      </c>
    </row>
    <row r="45" customFormat="false" ht="15" hidden="false" customHeight="false" outlineLevel="0" collapsed="false">
      <c r="A45" s="9" t="s">
        <v>675</v>
      </c>
    </row>
    <row r="47" customFormat="false" ht="15" hidden="false" customHeight="false" outlineLevel="0" collapsed="false">
      <c r="A47" s="8" t="s">
        <v>676</v>
      </c>
      <c r="B47" s="8" t="s">
        <v>661</v>
      </c>
      <c r="C47" s="8" t="s">
        <v>662</v>
      </c>
      <c r="D47" s="8" t="s">
        <v>663</v>
      </c>
    </row>
    <row r="48" customFormat="false" ht="15" hidden="false" customHeight="false" outlineLevel="0" collapsed="false">
      <c r="A48" s="9" t="s">
        <v>677</v>
      </c>
      <c r="B48" s="10" t="n">
        <v>70</v>
      </c>
      <c r="C48" s="9" t="n">
        <f aca="false">COUNTA(Pairs!$F$2:$F$500)-COUNTIF(Pairs!$F$2:$F$500,"same")-COUNTIF(Pairs!$F$2:$F$500,"none")</f>
        <v>84</v>
      </c>
      <c r="D48" s="9" t="n">
        <f aca="false">C48-B48</f>
        <v>14</v>
      </c>
    </row>
    <row r="49" customFormat="false" ht="15" hidden="false" customHeight="false" outlineLevel="0" collapsed="false">
      <c r="A49" s="9" t="s">
        <v>678</v>
      </c>
      <c r="B49" s="10" t="n">
        <v>30</v>
      </c>
      <c r="C49" s="9" t="n">
        <f aca="false">COUNTIF(Pairs!$F$2:$F$500,"*|ROLE*")</f>
        <v>45</v>
      </c>
      <c r="D49" s="9" t="n">
        <f aca="false">C49-B49</f>
        <v>15</v>
      </c>
    </row>
    <row r="50" customFormat="false" ht="15" hidden="false" customHeight="false" outlineLevel="0" collapsed="false">
      <c r="A50" s="9" t="s">
        <v>679</v>
      </c>
      <c r="B50" s="10" t="n">
        <v>30</v>
      </c>
      <c r="C50" s="9" t="n">
        <f aca="false">COUNTIF(Pairs!$F$2:$F$500,"none")</f>
        <v>16</v>
      </c>
      <c r="D50" s="9" t="n">
        <f aca="false">C50-B50</f>
        <v>-14</v>
      </c>
    </row>
    <row r="52" customFormat="false" ht="15" hidden="false" customHeight="false" outlineLevel="0" collapsed="false">
      <c r="A52" s="7" t="s">
        <v>680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80"/>
    <col collapsed="false" customWidth="true" hidden="false" outlineLevel="0" max="3" min="3" style="0" width="45"/>
  </cols>
  <sheetData>
    <row r="1" customFormat="false" ht="15" hidden="false" customHeight="false" outlineLevel="0" collapsed="false">
      <c r="A1" s="13" t="s">
        <v>681</v>
      </c>
      <c r="B1" s="14"/>
      <c r="C1" s="14"/>
    </row>
    <row r="2" customFormat="false" ht="15" hidden="false" customHeight="false" outlineLevel="0" collapsed="false">
      <c r="A2" s="5" t="s">
        <v>682</v>
      </c>
      <c r="B2" s="5" t="s">
        <v>683</v>
      </c>
      <c r="C2" s="5" t="s">
        <v>684</v>
      </c>
    </row>
    <row r="3" customFormat="false" ht="15" hidden="false" customHeight="false" outlineLevel="0" collapsed="false">
      <c r="A3" s="5" t="s">
        <v>26</v>
      </c>
      <c r="B3" s="5" t="s">
        <v>685</v>
      </c>
      <c r="C3" s="5" t="s">
        <v>331</v>
      </c>
    </row>
    <row r="4" customFormat="false" ht="15" hidden="false" customHeight="false" outlineLevel="0" collapsed="false">
      <c r="A4" s="5" t="s">
        <v>66</v>
      </c>
      <c r="B4" s="5" t="s">
        <v>686</v>
      </c>
      <c r="C4" s="5" t="s">
        <v>336</v>
      </c>
    </row>
    <row r="5" customFormat="false" ht="15" hidden="false" customHeight="false" outlineLevel="0" collapsed="false">
      <c r="A5" s="5" t="s">
        <v>31</v>
      </c>
      <c r="B5" s="5" t="s">
        <v>687</v>
      </c>
      <c r="C5" s="5" t="s">
        <v>322</v>
      </c>
    </row>
    <row r="6" customFormat="false" ht="15" hidden="false" customHeight="false" outlineLevel="0" collapsed="false">
      <c r="A6" s="5" t="s">
        <v>37</v>
      </c>
      <c r="B6" s="5" t="s">
        <v>688</v>
      </c>
      <c r="C6" s="5" t="s">
        <v>284</v>
      </c>
    </row>
    <row r="7" customFormat="false" ht="15" hidden="false" customHeight="false" outlineLevel="0" collapsed="false">
      <c r="A7" s="5" t="s">
        <v>48</v>
      </c>
      <c r="B7" s="5" t="s">
        <v>689</v>
      </c>
      <c r="C7" s="5" t="s">
        <v>351</v>
      </c>
    </row>
    <row r="8" customFormat="false" ht="15" hidden="false" customHeight="false" outlineLevel="0" collapsed="false">
      <c r="A8" s="5" t="s">
        <v>34</v>
      </c>
      <c r="B8" s="5" t="s">
        <v>690</v>
      </c>
      <c r="C8" s="5" t="s">
        <v>289</v>
      </c>
    </row>
    <row r="9" customFormat="false" ht="15" hidden="false" customHeight="false" outlineLevel="0" collapsed="false">
      <c r="A9" s="5" t="s">
        <v>53</v>
      </c>
      <c r="B9" s="5" t="s">
        <v>691</v>
      </c>
      <c r="C9" s="5" t="s">
        <v>367</v>
      </c>
    </row>
    <row r="10" customFormat="false" ht="15" hidden="false" customHeight="false" outlineLevel="0" collapsed="false">
      <c r="A10" s="5" t="s">
        <v>42</v>
      </c>
      <c r="B10" s="5" t="s">
        <v>692</v>
      </c>
      <c r="C10" s="5" t="s">
        <v>371</v>
      </c>
    </row>
    <row r="11" customFormat="false" ht="15" hidden="false" customHeight="false" outlineLevel="0" collapsed="false">
      <c r="A11" s="5" t="s">
        <v>79</v>
      </c>
      <c r="B11" s="5" t="s">
        <v>693</v>
      </c>
      <c r="C11" s="5" t="s">
        <v>359</v>
      </c>
    </row>
    <row r="12" customFormat="false" ht="15" hidden="false" customHeight="false" outlineLevel="0" collapsed="false">
      <c r="A12" s="5" t="s">
        <v>45</v>
      </c>
      <c r="B12" s="5" t="s">
        <v>694</v>
      </c>
      <c r="C12" s="5" t="s">
        <v>363</v>
      </c>
    </row>
    <row r="13" customFormat="false" ht="15" hidden="false" customHeight="false" outlineLevel="0" collapsed="false">
      <c r="A13" s="5" t="s">
        <v>251</v>
      </c>
      <c r="B13" s="5" t="s">
        <v>695</v>
      </c>
      <c r="C13" s="5" t="s">
        <v>696</v>
      </c>
    </row>
    <row r="15" customFormat="false" ht="15" hidden="false" customHeight="false" outlineLevel="0" collapsed="false">
      <c r="A15" s="13" t="s">
        <v>697</v>
      </c>
      <c r="B15" s="14"/>
      <c r="C15" s="14"/>
    </row>
    <row r="16" customFormat="false" ht="15" hidden="false" customHeight="false" outlineLevel="0" collapsed="false">
      <c r="A16" s="5" t="s">
        <v>698</v>
      </c>
      <c r="B16" s="5" t="s">
        <v>699</v>
      </c>
      <c r="C16" s="5"/>
    </row>
    <row r="17" customFormat="false" ht="15" hidden="false" customHeight="false" outlineLevel="0" collapsed="false">
      <c r="A17" s="5" t="s">
        <v>700</v>
      </c>
      <c r="B17" s="5" t="s">
        <v>701</v>
      </c>
      <c r="C17" s="5"/>
    </row>
    <row r="18" customFormat="false" ht="15" hidden="false" customHeight="false" outlineLevel="0" collapsed="false">
      <c r="A18" s="5" t="s">
        <v>702</v>
      </c>
      <c r="B18" s="5" t="s">
        <v>703</v>
      </c>
      <c r="C18" s="5"/>
    </row>
    <row r="19" customFormat="false" ht="23.85" hidden="false" customHeight="false" outlineLevel="0" collapsed="false">
      <c r="A19" s="5" t="s">
        <v>704</v>
      </c>
      <c r="B19" s="5" t="s">
        <v>705</v>
      </c>
      <c r="C19" s="5"/>
    </row>
    <row r="20" customFormat="false" ht="15" hidden="false" customHeight="false" outlineLevel="0" collapsed="false">
      <c r="A20" s="5" t="s">
        <v>706</v>
      </c>
      <c r="B20" s="5" t="s">
        <v>707</v>
      </c>
      <c r="C20" s="5"/>
    </row>
    <row r="22" customFormat="false" ht="15" hidden="false" customHeight="false" outlineLevel="0" collapsed="false">
      <c r="A22" s="13" t="s">
        <v>708</v>
      </c>
      <c r="B22" s="14"/>
      <c r="C22" s="14"/>
    </row>
    <row r="23" customFormat="false" ht="15" hidden="false" customHeight="false" outlineLevel="0" collapsed="false">
      <c r="A23" s="5" t="s">
        <v>273</v>
      </c>
      <c r="B23" s="5" t="s">
        <v>709</v>
      </c>
      <c r="C23" s="5"/>
    </row>
    <row r="24" customFormat="false" ht="15" hidden="false" customHeight="false" outlineLevel="0" collapsed="false">
      <c r="A24" s="5" t="s">
        <v>325</v>
      </c>
      <c r="B24" s="5" t="s">
        <v>710</v>
      </c>
      <c r="C24" s="5"/>
    </row>
    <row r="25" customFormat="false" ht="15" hidden="false" customHeight="false" outlineLevel="0" collapsed="false">
      <c r="A25" s="5" t="s">
        <v>288</v>
      </c>
      <c r="B25" s="5" t="s">
        <v>711</v>
      </c>
      <c r="C25" s="5"/>
    </row>
    <row r="26" customFormat="false" ht="15" hidden="false" customHeight="false" outlineLevel="0" collapsed="false">
      <c r="A26" s="5" t="s">
        <v>301</v>
      </c>
      <c r="B26" s="5" t="s">
        <v>712</v>
      </c>
      <c r="C26" s="5"/>
    </row>
    <row r="27" customFormat="false" ht="15" hidden="false" customHeight="false" outlineLevel="0" collapsed="false">
      <c r="A27" s="5" t="s">
        <v>335</v>
      </c>
      <c r="B27" s="5" t="s">
        <v>713</v>
      </c>
      <c r="C27" s="5"/>
    </row>
    <row r="28" customFormat="false" ht="15" hidden="false" customHeight="false" outlineLevel="0" collapsed="false">
      <c r="A28" s="5" t="s">
        <v>305</v>
      </c>
      <c r="B28" s="5" t="s">
        <v>714</v>
      </c>
      <c r="C28" s="5"/>
    </row>
    <row r="29" customFormat="false" ht="15" hidden="false" customHeight="false" outlineLevel="0" collapsed="false">
      <c r="A29" s="5" t="s">
        <v>330</v>
      </c>
      <c r="B29" s="5" t="s">
        <v>715</v>
      </c>
      <c r="C29" s="5"/>
    </row>
    <row r="30" customFormat="false" ht="15" hidden="false" customHeight="false" outlineLevel="0" collapsed="false">
      <c r="A30" s="5" t="s">
        <v>283</v>
      </c>
      <c r="B30" s="5" t="s">
        <v>716</v>
      </c>
      <c r="C30" s="5"/>
    </row>
    <row r="31" customFormat="false" ht="15" hidden="false" customHeight="false" outlineLevel="0" collapsed="false">
      <c r="A31" s="5" t="s">
        <v>282</v>
      </c>
      <c r="B31" s="5" t="s">
        <v>717</v>
      </c>
      <c r="C31" s="5"/>
    </row>
    <row r="33" customFormat="false" ht="15" hidden="false" customHeight="false" outlineLevel="0" collapsed="false">
      <c r="A33" s="13" t="s">
        <v>718</v>
      </c>
      <c r="B33" s="14"/>
      <c r="C33" s="14"/>
    </row>
    <row r="34" customFormat="false" ht="15" hidden="false" customHeight="false" outlineLevel="0" collapsed="false">
      <c r="A34" s="5" t="s">
        <v>719</v>
      </c>
      <c r="B34" s="5" t="s">
        <v>720</v>
      </c>
      <c r="C34" s="5"/>
    </row>
    <row r="35" customFormat="false" ht="23.85" hidden="false" customHeight="false" outlineLevel="0" collapsed="false">
      <c r="A35" s="5" t="s">
        <v>721</v>
      </c>
      <c r="B35" s="5" t="s">
        <v>722</v>
      </c>
      <c r="C35" s="5"/>
    </row>
    <row r="36" customFormat="false" ht="23.85" hidden="false" customHeight="false" outlineLevel="0" collapsed="false">
      <c r="A36" s="5" t="s">
        <v>723</v>
      </c>
      <c r="B36" s="5" t="s">
        <v>724</v>
      </c>
      <c r="C36" s="5"/>
    </row>
    <row r="37" customFormat="false" ht="15" hidden="false" customHeight="false" outlineLevel="0" collapsed="false">
      <c r="A37" s="5" t="s">
        <v>725</v>
      </c>
      <c r="B37" s="5" t="s">
        <v>726</v>
      </c>
      <c r="C37" s="5"/>
    </row>
    <row r="38" customFormat="false" ht="23.85" hidden="false" customHeight="false" outlineLevel="0" collapsed="false">
      <c r="A38" s="5" t="s">
        <v>727</v>
      </c>
      <c r="B38" s="5" t="s">
        <v>728</v>
      </c>
      <c r="C38" s="5"/>
    </row>
    <row r="39" customFormat="false" ht="15" hidden="false" customHeight="false" outlineLevel="0" collapsed="false">
      <c r="A39" s="5" t="s">
        <v>282</v>
      </c>
      <c r="B39" s="5" t="s">
        <v>729</v>
      </c>
      <c r="C39" s="5"/>
    </row>
    <row r="41" customFormat="false" ht="15" hidden="false" customHeight="false" outlineLevel="0" collapsed="false">
      <c r="A41" s="13" t="s">
        <v>730</v>
      </c>
      <c r="B41" s="14"/>
      <c r="C41" s="14"/>
    </row>
    <row r="42" customFormat="false" ht="15" hidden="false" customHeight="false" outlineLevel="0" collapsed="false">
      <c r="A42" s="5" t="s">
        <v>731</v>
      </c>
      <c r="B42" s="5" t="s">
        <v>732</v>
      </c>
      <c r="C42" s="5"/>
    </row>
    <row r="43" customFormat="false" ht="15" hidden="false" customHeight="false" outlineLevel="0" collapsed="false">
      <c r="A43" s="5" t="s">
        <v>733</v>
      </c>
      <c r="B43" s="5" t="s">
        <v>734</v>
      </c>
      <c r="C43" s="5"/>
    </row>
    <row r="44" customFormat="false" ht="15" hidden="false" customHeight="false" outlineLevel="0" collapsed="false">
      <c r="A44" s="5" t="s">
        <v>735</v>
      </c>
      <c r="B44" s="5" t="s">
        <v>736</v>
      </c>
      <c r="C44" s="5"/>
    </row>
    <row r="45" customFormat="false" ht="15" hidden="false" customHeight="false" outlineLevel="0" collapsed="false">
      <c r="A45" s="5" t="s">
        <v>737</v>
      </c>
      <c r="B45" s="5" t="s">
        <v>738</v>
      </c>
      <c r="C45" s="5"/>
    </row>
    <row r="46" customFormat="false" ht="15" hidden="false" customHeight="false" outlineLevel="0" collapsed="false">
      <c r="A46" s="5" t="s">
        <v>739</v>
      </c>
      <c r="B46" s="5" t="s">
        <v>740</v>
      </c>
      <c r="C46" s="5"/>
    </row>
    <row r="47" customFormat="false" ht="15" hidden="false" customHeight="false" outlineLevel="0" collapsed="false">
      <c r="A47" s="5" t="s">
        <v>741</v>
      </c>
      <c r="B47" s="5" t="s">
        <v>742</v>
      </c>
      <c r="C47" s="5"/>
    </row>
    <row r="48" customFormat="false" ht="23.85" hidden="false" customHeight="false" outlineLevel="0" collapsed="false">
      <c r="A48" s="5" t="s">
        <v>743</v>
      </c>
      <c r="B48" s="5" t="s">
        <v>744</v>
      </c>
      <c r="C48" s="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2026-10-07T04:50:59Z</dcterms:created>
  <dc:creator>openpyxl</dc:creator>
  <dc:description/>
  <dc:language>en-US</dc:language>
  <cp:lastModifiedBy/>
  <dcterms:modified xsi:type="dcterms:W3CDTF">2026-10-07T04:50:59Z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