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ntries" sheetId="2" state="visible" r:id="rId4"/>
    <sheet name="Pairs" sheetId="3" state="visible" r:id="rId5"/>
    <sheet name="Balance" sheetId="4" state="visible" r:id="rId6"/>
    <sheet name="Guidelines" sheetId="5" state="visible" r:id="rId7"/>
  </sheets>
  <definedNames>
    <definedName function="false" hidden="true" localSheetId="1" name="_xlnm._FilterDatabase" vbProcedure="false">Entries!$A$1:$J$351</definedName>
    <definedName function="false" hidden="true" localSheetId="2" name="_xlnm._FilterDatabase" vbProcedure="false">Pairs!$A$1:$H$439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<sst xmlns="http://schemas.openxmlformats.org/spreadsheetml/2006/main" count="6086" uniqueCount="2132">
  <si>
    <t xml:space="preserve">Synthetic journal dataset for emotion-cause pair extraction (ECPE)</t>
  </si>
  <si>
    <t xml:space="preserve">What this is</t>
  </si>
  <si>
    <t xml:space="preserve">350 synthetic journal-style entries (IDs S001 to S350; batch 1 = S001 to S100, batch 2 = S101 to S200, batch 3 = S201 to S350, see the batch column) with draft labels, written by an LLM (Claude) in your two-sheet format.</t>
  </si>
  <si>
    <t xml:space="preserve">Use it for training and development. Do NOT use it as your final test set: LLM text is cleaner and more explicit than real journals, so scores on it will look inflated.</t>
  </si>
  <si>
    <t xml:space="preserve">Status of the labels</t>
  </si>
  <si>
    <t xml:space="preserve">All labels are LLM drafts (annotator = LLM-draft). A human must review them before they count as gold labels. Automatic checks already confirmed that every clause and entity is copied exactly from its entry and every label is from the fixed lists.</t>
  </si>
  <si>
    <t xml:space="preserve">Sheets</t>
  </si>
  <si>
    <t xml:space="preserve">Entries: one row per journal entry. Edit Text and the planned_ columns only before annotation starts. Columns G and H are formulas.</t>
  </si>
  <si>
    <t xml:space="preserve">Pairs: one row per emotion-cause pair. An entry with two pairs has two rows. The ner column is filled on the first row of each entry; later rows say same.</t>
  </si>
  <si>
    <t xml:space="preserve">Guidelines: the label lists and rules used to write these labels.</t>
  </si>
  <si>
    <t xml:space="preserve">Balance: live counts (formulas) of structures, emotions, aspects, lengths and entities against the plan. Blue numbers are the plan targets; change them if your plan changes.</t>
  </si>
  <si>
    <t xml:space="preserve">How to add your own human-written entries</t>
  </si>
  <si>
    <t xml:space="preserve">Add a row to Entries with a new ID (for example H001), Source = Human, and the whole entry in one cell. Add its pairs to Pairs using the same ID. The Balance sheet updates automatically (its ranges cover rows up to 1000).</t>
  </si>
  <si>
    <t xml:space="preserve">ID</t>
  </si>
  <si>
    <t xml:space="preserve">Author</t>
  </si>
  <si>
    <t xml:space="preserve">Source</t>
  </si>
  <si>
    <t xml:space="preserve">Text</t>
  </si>
  <si>
    <t xml:space="preserve">planned_emotions</t>
  </si>
  <si>
    <t xml:space="preserve">planned_structure</t>
  </si>
  <si>
    <t xml:space="preserve">length_words</t>
  </si>
  <si>
    <t xml:space="preserve">length_bucket</t>
  </si>
  <si>
    <t xml:space="preserve">status</t>
  </si>
  <si>
    <t xml:space="preserve">batch</t>
  </si>
  <si>
    <t xml:space="preserve">S001</t>
  </si>
  <si>
    <t xml:space="preserve">Claude (LLM)</t>
  </si>
  <si>
    <t xml:space="preserve">Synthetic</t>
  </si>
  <si>
    <t xml:space="preserve">Got my DBMS internal marks today and I scored 42 out of 50. Honestly so happy right now, I did not think I would cross 35. Even the lab viva went better than expected, finally some luck.</t>
  </si>
  <si>
    <t xml:space="preserve">joy</t>
  </si>
  <si>
    <t xml:space="preserve">cause before emotion</t>
  </si>
  <si>
    <t xml:space="preserve">LLM-draft, needs human review</t>
  </si>
  <si>
    <t xml:space="preserve">S002</t>
  </si>
  <si>
    <t xml:space="preserve">My manager told us in the standup that the client loved our demo. Feeling really proud of the team, we worked on it for three weeks straight. Most of us skipped lunch on the last two days just to finish the slides. The meeting ran for almost an hour and the client asked for a second round next quarter. After the call we ordered pizza for the whole floor and the senior engineers stayed to go through the feedback line by line. I took notes on my laptop and then rewrote them in my diary at night because I did not trust myself to remember everything.</t>
  </si>
  <si>
    <t xml:space="preserve">pride</t>
  </si>
  <si>
    <t xml:space="preserve">S003</t>
  </si>
  <si>
    <t xml:space="preserve">Missed the 8:15 local by like ten seconds and had to wait 25 mins for the next one. So annoyed, ruined my whole morning. The next train was packed and I stood near the door the whole way with my bag on my chest. I reached the office twenty minutes late and had to sign the register at the gate.</t>
  </si>
  <si>
    <t xml:space="preserve">anger</t>
  </si>
  <si>
    <t xml:space="preserve">S004</t>
  </si>
  <si>
    <t xml:space="preserve">Maa made my favourite rajma chawal after a really long week. I almost cried at the dinner table, so grateful for her. She does not say much but she always knows when I am tired. I helped her wash the dishes afterwards while she told me about the new shop near the temple. We watched half of a serial together and I fell asleep on the sofa with my head on a cushion. In the morning she had already packed a tiffin for me with extra pickle and two parathas for the bus.</t>
  </si>
  <si>
    <t xml:space="preserve">gratitude</t>
  </si>
  <si>
    <t xml:space="preserve">S005</t>
  </si>
  <si>
    <t xml:space="preserve">Group project presentation went terrible, Aman forgot his entire part and I had to improvise. I was furious but did not say anything in front of everyone. Later he said sorry in the hallway but I just nodded and walked away. The slides had been finalised the night before and we had even rehearsed twice in the library. In the Q&amp;A the panel asked about the second graph and I answered it while he stood there silently. After that we went to the canteen and split a plate of samosas without talking much. I took the long way back to the hostel.</t>
  </si>
  <si>
    <t xml:space="preserve">S006</t>
  </si>
  <si>
    <t xml:space="preserve">The assignment deadline is at 11 tonight and I have not even started the second question. So stressed right now. Tried to open the PDF three times and closed it each time, my brain just refuses.</t>
  </si>
  <si>
    <t xml:space="preserve">stress</t>
  </si>
  <si>
    <t xml:space="preserve">S007</t>
  </si>
  <si>
    <t xml:space="preserve">Neha texted me out of nowhere after like a year. I was so surprised to hear from her, we talked for almost two hours. She is studying in another city now and we caught up on college gossip, her new flat and the project she is working on.</t>
  </si>
  <si>
    <t xml:space="preserve">surprise</t>
  </si>
  <si>
    <t xml:space="preserve">S008</t>
  </si>
  <si>
    <t xml:space="preserve">Failed the driving test for the second time because I stalled on the slope. I feel like such a loser. The marking sheet showed the same mistake as last time. I drove home slowly and parked outside the building for ten minutes before going in.</t>
  </si>
  <si>
    <t xml:space="preserve">sadness</t>
  </si>
  <si>
    <t xml:space="preserve">S009</t>
  </si>
  <si>
    <t xml:space="preserve">Rohan borrowed my notes before the exam and gave them back with coffee stains all over. I am so stressed now, half the pages are unreadable and the test is tomorrow. He did not even say thanks, just dropped the notebook on my desk. I spent the next two hours in the library photocopying the same chapters from the shared drive printouts. The photocopy shop was crowded and the machine kept jamming, so I only got home at ten. I highlighted the main formulas in three colours and stuck them on the wall above my bed. Then I set two alarms and put my phone across the room.</t>
  </si>
  <si>
    <t xml:space="preserve">S010</t>
  </si>
  <si>
    <t xml:space="preserve">Dad called to say we are leaving for my cousin's wedding on Friday, for the whole week. Kind of dreading it, relatives will ask about placements again. I have a project review on Monday too and now I will have to skip it. The wedding hall is far from the city and we will be staying at a guest house for four nights. The bags are already by the door and the tickets are on my phone. I told the team that I would try to join the review online, but the signal there is usually bad. I packed my laptop and charger anyway, just in case.</t>
  </si>
  <si>
    <t xml:space="preserve">fear</t>
  </si>
  <si>
    <t xml:space="preserve">S011</t>
  </si>
  <si>
    <t xml:space="preserve">Our team won the inter-college quiz at COEP and I answered the last question. Proud of all of us, still smiling like an idiot. The final was between us and a team from the engineering college across the river, and it went down to a tiebreaker. We got a trophy and a voucher for a bookstore. We all took a group photo near the stage and then went for ice cream.</t>
  </si>
  <si>
    <t xml:space="preserve">S012</t>
  </si>
  <si>
    <t xml:space="preserve">My phone fell off the bed and the screen cracked right across. Ugh so frustrated, I got it repaired only in April. I took it to a repair shop near the station on the same evening and left it there for the night. They quoted three thousand rupees for the screen replacement, and I paid half in advance.</t>
  </si>
  <si>
    <t xml:space="preserve">S013</t>
  </si>
  <si>
    <t xml:space="preserve">Finished the whole 5k run without stopping for the first time ever. Felt really proud of myself, I could barely do one km when I started. My legs are jelly now but totally worth it.</t>
  </si>
  <si>
    <t xml:space="preserve">S014</t>
  </si>
  <si>
    <t xml:space="preserve">Our landlord increased the rent by 2000 without any notice. I am so stressed, we are already struggling. He said the society charges went up but he did not show any bill, just a message on whatsapp. He also asked us to pay in cash instead of transfer. We checked the agreement and nothing about maintenance charges was written there. My roommates and I made a spreadsheet of what we pay and what we get, which took the whole evening. We decided to talk to him together after dinner.</t>
  </si>
  <si>
    <t xml:space="preserve">S015</t>
  </si>
  <si>
    <t xml:space="preserve">My girlfriend and I finally got tickets for the concert in Mumbai after refreshing the page for an hour. I am so excited I cannot sit still! We are already planning which train to take and what to wear.</t>
  </si>
  <si>
    <t xml:space="preserve">S016</t>
  </si>
  <si>
    <t xml:space="preserve">Finished all my pending work by 6pm for once and made tea on the balcony. Feeling calm and content, this is all i want from a Sunday. The sky was orange and nobody was calling me for anything.</t>
  </si>
  <si>
    <t xml:space="preserve">contentment</t>
  </si>
  <si>
    <t xml:space="preserve">S017</t>
  </si>
  <si>
    <t xml:space="preserve">Cooked pasta for myself and watched an old show on the laptop. Nothing special but I feel peaceful, a good ordinry evening. I used the last of the cheese and some leftover garlic bread, and I washed the dishes right after eating. Then I read for a while and turned off the lights at ten.</t>
  </si>
  <si>
    <t xml:space="preserve">S018</t>
  </si>
  <si>
    <t xml:space="preserve">Prof. Mehta stayed back for an extra hour to explain the proofs to us. Really thankful, nobdy has to do that. Half the class had given up on that chapter and now it actually makes sense to me.</t>
  </si>
  <si>
    <t xml:space="preserve">S019</t>
  </si>
  <si>
    <t xml:space="preserve">Riya covered my share of the bill when my card got declined at the cafe. I am really grateful to have a friend like her. It was only forty rupees short but there was a line behind me. I transferred her the money that night and she replied with a thumbs up.</t>
  </si>
  <si>
    <t xml:space="preserve">S020</t>
  </si>
  <si>
    <t xml:space="preserve">My girlfriend moved to Bangalore today for her job, the city feels so empty already. I am really sad, we have been together for four years. I walked home the long way so I would not have to sit in my room. I made a list of all the places we used to go to and then deleted it. At the bus stop an old man asked me for directions and I walked with him for five minutes to show the way. When I reached the hostel I ate dinner at the mess without really tasting anything. Later I watched two episodes of a show on my laptop and fell asleep with the earphones on.</t>
  </si>
  <si>
    <t xml:space="preserve">S021</t>
  </si>
  <si>
    <t xml:space="preserve">Our dog got sick again and the vet said it might be serious. I have been feeling so low since yesterday. He did not touch his food and just lay near the door all night.</t>
  </si>
  <si>
    <t xml:space="preserve">S022</t>
  </si>
  <si>
    <t xml:space="preserve">I forgot Mom's birthday wish till 9pm and she did not say anything. I feel so guilty, she always remembers mine at midnight. I called her at 9:15 and we spoke for about ten minutes about the cake and the relatives who visited. My phone had been on silent since the lab practical.</t>
  </si>
  <si>
    <t xml:space="preserve">guilt</t>
  </si>
  <si>
    <t xml:space="preserve">S023</t>
  </si>
  <si>
    <t xml:space="preserve">Opened the door and my cousin from Nagpur was standing there with a bag. Totally shocked, nobody told me she was coming. We ended up eating maggi at midnight and talking about everything. She had taken the overnight bus and slept at the back until it reached the city. I made her tea and gave her my bed, and I slept on the floor with a thin mattress. In the morning we walked to the market and she bought bangles and a pair of earrings for her friends back home. She left in the evening with a bag of snacks that I had stuffed in at the last minute.</t>
  </si>
  <si>
    <t xml:space="preserve">S024</t>
  </si>
  <si>
    <t xml:space="preserve">The doctor asked me to repeat the blood test next week because one value looked off. Honestly scared, I keep googling and it is making it worse. I have not told anyone at home yet.</t>
  </si>
  <si>
    <t xml:space="preserve">S025</t>
  </si>
  <si>
    <t xml:space="preserve">Three exams in four days and I have only finished one syllabus. Overwhelmed and cannot even think straight. I made a timetable but I already know I will not follow it. I have also started to skip meals to save time. The subjects are mostly theory and I keep losing my place in the textbook.</t>
  </si>
  <si>
    <t xml:space="preserve">S026</t>
  </si>
  <si>
    <t xml:space="preserve">I am so happy today because Mom finally agreed to let me go on the trip with Karan and Isha. I had been asking since January and she kept saying maybe, I cannot believe she said yes.</t>
  </si>
  <si>
    <t xml:space="preserve">cause after emotion</t>
  </si>
  <si>
    <t xml:space="preserve">S027</t>
  </si>
  <si>
    <t xml:space="preserve">Feeling really low because the placement results came out and my name is not on the list. I scrolled the list three times in case I had missed it. Then I closed the portal and went to the terrace for a walk.</t>
  </si>
  <si>
    <t xml:space="preserve">S028</t>
  </si>
  <si>
    <t xml:space="preserve">I am nervous about tomorrow since the interview is with the CTO himself. I have prepared my answers three times already and I still feel like I will blank out. Need to sleep early.</t>
  </si>
  <si>
    <t xml:space="preserve">S029</t>
  </si>
  <si>
    <t xml:space="preserve">Proud of myself today because I said no to my seniors for the first time and held my ground. I sat in the library for an hour afterwards to calm down, and nobody asked me anything. I made a note in my diary about how it went.</t>
  </si>
  <si>
    <t xml:space="preserve">S030</t>
  </si>
  <si>
    <t xml:space="preserve">Angry at Karan since he promised to pick me up and just never showed up, did not even call. I waited at the corner of the main road for forty minutes in the sun. In the end I took an auto and paid a hundred rupees.</t>
  </si>
  <si>
    <t xml:space="preserve">S031</t>
  </si>
  <si>
    <t xml:space="preserve">I feel so guilty because I snapped at my sister over something really small. It was about the TV remote and I raised my voice and walked out of the room. Later I made her a cup of tea and we watched the news together without talking.</t>
  </si>
  <si>
    <t xml:space="preserve">S032</t>
  </si>
  <si>
    <t xml:space="preserve">Grateful to Dev because he stayed up till 3am helping me fix my project code. We started at midnight with a bag of chips and a cold coffee each. The bug turned out to be a missing bracket in the last file.</t>
  </si>
  <si>
    <t xml:space="preserve">S033</t>
  </si>
  <si>
    <t xml:space="preserve">Feeling kind of content today because nothing went wrong and I got to read for an hour. I made rajma and rice for lunch and listened to old songs while washing the vessels. The sunlight in the room was warm.</t>
  </si>
  <si>
    <t xml:space="preserve">S034</t>
  </si>
  <si>
    <t xml:space="preserve">So stressed about money because my stipend from Infosys is delayed by a month now. I have to ask for money from home for the rent and I really hate doing that. Told myself it is only for two more weeks.</t>
  </si>
  <si>
    <t xml:space="preserve">S035</t>
  </si>
  <si>
    <t xml:space="preserve">I was really surprised because the professor actually remembered my name from the very first lecture. She said it in class when she was handing back the sheets and I almost dropped my pen. Most people in the batch have never even spoken to her.</t>
  </si>
  <si>
    <t xml:space="preserve">S036</t>
  </si>
  <si>
    <t xml:space="preserve">The metro was delayed by forty minutes and then it started pouring right outside the station. I reached office drenched and late, and my laptop bag was soaked at the bottom. The security guard made me sign the late register like I was in school. I sat at my desk with wet socks for an hour and could not focus on anything. At lunch the canteen had run out of everything except plain rice. Then there was a bug in production at 4 and I had to stay till 8 to fix it. Today was just one of those days where I wanted to scream into a pillow. When I finally got home I just lay on the bed in my office clothes and stared at the fan. I finally ate dinner at ten from a leftover packet of chips and a cup of instant noodles. I plugged in my phone, checked the meeting list and set an alarm for six. Then I scrolled through photos from the trip for a while and put the phone on the charger. The rain had stopped by then and the street outside was full of puddles reflecting the yellow lights. I could hear the neighbours' television through the wall and a pressure cooker whistling somewhere down the corridor.</t>
  </si>
  <si>
    <t xml:space="preserve">different sentences</t>
  </si>
  <si>
    <t xml:space="preserve">S037</t>
  </si>
  <si>
    <t xml:space="preserve">Dadi called in the evening and asked me to come home this weekend. She said she has made all my favourite things already, as if I had already agreed. I told her I have a lab report due on Monday and she went quiet for a second and then said it is okay, beta, study. I have not been home in almost six months. I really miss everyone there, even the noisy cousins and the pressure cooker whistle at 7am.</t>
  </si>
  <si>
    <t xml:space="preserve">S038</t>
  </si>
  <si>
    <t xml:space="preserve">We got the lab results back. Everyone in my group passed except me. I just sat in the corridor for a while, feeling numb and embarrassed. I did not reply to the group chat for the rest of the day. The sheet with marks was stuck on the notice board outside the lab and people were standing around it in small groups. I read my row twice to make sure it was not a mistake. Then I took the stairs instead of the lift and walked around the campus until the sun went down. My phone buzzed a few times but I left it face down on the bench.</t>
  </si>
  <si>
    <t xml:space="preserve">S039</t>
  </si>
  <si>
    <t xml:space="preserve">My roommate left the gas on again. Luckily nothing happened but I smelled it as soon as I opened the door. My heart was racing for ten minutes afterwards. I opened every window and sat on the stairs till my hands stopped shaking. The cylinder was not even half full, so the stove had probably been leaking for a while. I called the maintenance number from the notice board and a person came after forty minutes and replaced the pipe. We both signed a form saying that it was checked and safe. Dinner was late and we ate maggi on the floor of the balcony with the door open.</t>
  </si>
  <si>
    <t xml:space="preserve">S040</t>
  </si>
  <si>
    <t xml:space="preserve">Spent the whole Saturday cleaning my room and sorting old notes. Found my school diary in the cupboard, behind two broken chargers, and read it twice. The handwriting is so bad and the plans I made at 14 are hilarious. There was a page where I wrote that I will become an astronaut by 25. I am smiling as I write this, such sweet memories.</t>
  </si>
  <si>
    <t xml:space="preserve">S041</t>
  </si>
  <si>
    <t xml:space="preserve">Ananya got selected for the exchange program. We have been preparing together since June, mock interviews and everything. I am really happy for her, she deserves it more than anyone.</t>
  </si>
  <si>
    <t xml:space="preserve">S042</t>
  </si>
  <si>
    <t xml:space="preserve">The professor announced a pop quiz in the last ten minutes of class. I had not revised anything from the last two chapters. Panicking inside the whole time, my pen would not stop shaking. After class I went through the notes of the last two chapters in the cafeteria and made a list of the questions that would probably come in the end semester. I then wrote the answers to the quiz again from memory to see how many I got right. It was nine out of fifteen. I decided to start the revision schedule right away and wrote it on a sticky note.</t>
  </si>
  <si>
    <t xml:space="preserve">S043</t>
  </si>
  <si>
    <t xml:space="preserve">Papa has been working night shifts since March and he looks so tired these days. He still calls me every morning and asks if I ate properly. Yesterday I heard him cough for a long time on the phone and he said it is nothing. I wish I could do something for him but I cannot even pay my own fees. I feel so helpless.</t>
  </si>
  <si>
    <t xml:space="preserve">S044</t>
  </si>
  <si>
    <t xml:space="preserve">Presented in front of 200 people at the fest and nobody laughed at my jokes. I practised them for a week in front of the mirror. I am a little disappointed, I thought at least the front row would smile. The fest ended at nine and the next act was a band from another college. I helped carry the chairs back to the storeroom and counted the wires with the sound team. My throat was dry from talking into the mic for fifteen minutes, so I bought a lemon soda from the stall outside. I walked back to the hostel with my slides still open on the laptop.</t>
  </si>
  <si>
    <t xml:space="preserve">S045</t>
  </si>
  <si>
    <t xml:space="preserve">My boyfriend and I had a fight about the trip money. He said I always make things about myself, right in the middle of the cafe, and people were looking. I did not cry there but I held it in the whole way back. I have been so angry since then and I do not even want to message him. Part of me wants him to apologise first, the other part is too tired to wait.</t>
  </si>
  <si>
    <t xml:space="preserve">S046</t>
  </si>
  <si>
    <t xml:space="preserve">Joined the new gym near my place today. The trainer was really kind and showed me the machines slowly, without making me feel dumb. I feel quite relaxed about going now, not scared like before.</t>
  </si>
  <si>
    <t xml:space="preserve">S047</t>
  </si>
  <si>
    <t xml:space="preserve">Aunty from the next flat sent food for all of us. There was kheer too, I have not had it since I left home. Eyes literally teared up, I was so thankful.</t>
  </si>
  <si>
    <t xml:space="preserve">S048</t>
  </si>
  <si>
    <t xml:space="preserve">The paper turned out to be much easier than I expected. I walked out of the exam hall so surprised, finally some good news. Everyone else was complaining but I had actually revised the right units this time. I checked my answers once more during the last half hour and still had time to draw the diagram neatly. After the paper I met my group near the vending machine and compared the answers to the long questions. Two of us had written the same formula and one had written something completely different. We all had a plate of fried rice at the canteen and then went back to the hostel to sleep.</t>
  </si>
  <si>
    <t xml:space="preserve">S049</t>
  </si>
  <si>
    <t xml:space="preserve">Lost my wallet somewhere between the bus stop and the canteen. It had my ID card, my metro pass and some cash. I keep retracing my steps and I am just so anxious about the whole thing. I filed a complaint at the office but the clerk said it can take days. What if someone misuses the card? I have not been able to eat since lunch.</t>
  </si>
  <si>
    <t xml:space="preserve">S050</t>
  </si>
  <si>
    <t xml:space="preserve">Today I finally told Aman that his jokes about my accent hurt me. He apologised properly and even bought me chai. I feel lighter now, a lot lighter. I did not expect it to go this well.</t>
  </si>
  <si>
    <t xml:space="preserve">S051</t>
  </si>
  <si>
    <t xml:space="preserve">Couldn't sleep again last night. Kept staring at the ceiling till 4. Feeling so low today. I tried counting backwards, then listened to a podcast, then switched on the fan. Around five I went to the kitchen and drank a glass of water.</t>
  </si>
  <si>
    <t xml:space="preserve">implicit cause</t>
  </si>
  <si>
    <t xml:space="preserve">S052</t>
  </si>
  <si>
    <t xml:space="preserve">Just sitting in my room with the lights off. Do not even know why but I feel really lonely tonight. I have not opened my phone for an hour. The only sound is the fridge humming from the corridor.</t>
  </si>
  <si>
    <t xml:space="preserve">S053</t>
  </si>
  <si>
    <t xml:space="preserve">Something about this morning bugged me and I cannot even explain what. Been irritated at everyone since I woke up. Even the chai tasted wrong.</t>
  </si>
  <si>
    <t xml:space="preserve">S054</t>
  </si>
  <si>
    <t xml:space="preserve">Woke up with this weird heaviness in my chest today. Nothing happened, I just feel anxious for no reason. Tried deep breathing, helped a little.</t>
  </si>
  <si>
    <t xml:space="preserve">S055</t>
  </si>
  <si>
    <t xml:space="preserve">Walked to the college gate today. Felt really happy for no particular reason.</t>
  </si>
  <si>
    <t xml:space="preserve">S056</t>
  </si>
  <si>
    <t xml:space="preserve">Another day, same routine. I am just tired of everything lately, do not even want to open my laptop. I make tea, drink half of it, and leave the rest on the table. The same playlist has been on repeat since lunch.</t>
  </si>
  <si>
    <t xml:space="preserve">S057</t>
  </si>
  <si>
    <t xml:space="preserve">Kind of a quiet day. Did my usual stuff. I feel okay, nothing to complain about really. Had dal chawal for lunch and talked to a couple of people in the corridor. Watched one episode before sleeping.</t>
  </si>
  <si>
    <t xml:space="preserve">S058</t>
  </si>
  <si>
    <t xml:space="preserve">Can't stop smiling today and I do not know why. Even the bus conductor smiled back at me. I took the usual bus and sat by the window. The ticket cost ten rupees and I got back a one rupee coin as change.</t>
  </si>
  <si>
    <t xml:space="preserve">S059</t>
  </si>
  <si>
    <t xml:space="preserve">Missing home so much tonight, can't explain why. Called nobody, just lay there. The fan is on the second speed and the window is open. There is a faint smell of rain somewhere outside.</t>
  </si>
  <si>
    <t xml:space="preserve">S060</t>
  </si>
  <si>
    <t xml:space="preserve">Had a strange sinking feeling during lunch today that I forgot something important. I kept cheking my bag again n again.</t>
  </si>
  <si>
    <t xml:space="preserve">S061</t>
  </si>
  <si>
    <t xml:space="preserve">Felt really proud tonight for some reason. Look how far I have come.</t>
  </si>
  <si>
    <t xml:space="preserve">S062</t>
  </si>
  <si>
    <t xml:space="preserve">Randomly feeling grateful today. Nothing specific, just a good feeling about everything. Washed my clothes, made a list for the week and went for a short walk after dinner.</t>
  </si>
  <si>
    <t xml:space="preserve">S063</t>
  </si>
  <si>
    <t xml:space="preserve">Feel so guilty and I cannot even say about what. Maybe I should have called someone.</t>
  </si>
  <si>
    <t xml:space="preserve">S064</t>
  </si>
  <si>
    <t xml:space="preserve">Everything felt too loud today, the bus, the classroom, even my own thoughts. I just want to be left alone. I put on my headphones at lunch and took them off at four. Reached the hostel and sat on the stairs for a bit.</t>
  </si>
  <si>
    <t xml:space="preserve">S065</t>
  </si>
  <si>
    <t xml:space="preserve">Been so angry at everything since yesterday. Even my own breathing annoys me. Not sure what set it off.</t>
  </si>
  <si>
    <t xml:space="preserve">S066</t>
  </si>
  <si>
    <t xml:space="preserve">Got the offer letter from TCS today and I could not stop smiling. I refreshed my mail like ten times to make sure it was real, and then I just walked around the hostel corridor showing everyone my phone. I called home and Maa was crying on the other end, which made me tear up too. We were so loud that the warden knocked on the door. But then, around evening, I realised I have to move to Pune in a month, away from everyone I know. I have never lived in a new city alone. I have to find a flat, learn the local trains and make new friends, and my stomach dropped. The following days will be paperwork, the bank account and the medical test. I made a list on my notes app and it already has 14 items. I tried to be excited but all I could think about was the empty seat next to me in the mess. Still, I do not regret anything, I just wish time would go slow. I finally put my phone on charge and stared at the ceiling for a long time. The fan was making its usual clicking noise and the corridor lights were already off. I opened my notes app again and added three more items to the list.</t>
  </si>
  <si>
    <t xml:space="preserve">joy, fear</t>
  </si>
  <si>
    <t xml:space="preserve">two emotions, two causes</t>
  </si>
  <si>
    <t xml:space="preserve">S067</t>
  </si>
  <si>
    <t xml:space="preserve">Won the badminton match against the seniors and I am so proud of how I played. I did not drop a single serve in the last set. Sadly Isha hurt her ankle in the last game, I feel awful about it, she was limping all the way to the hostel and refused to go to the doctor. The match lasted nearly two hours because of the extra points at the end. The crowd was mostly first years who had come to watch the seniors lose. I drank two bottles of water and had to sit on the floor for ten minutes after the last point. Later in the hostel we put ice on the ankle and wrapped it with a crepe bandage that someone borrowed from another floor.</t>
  </si>
  <si>
    <t xml:space="preserve">pride, sadness</t>
  </si>
  <si>
    <t xml:space="preserve">S068</t>
  </si>
  <si>
    <t xml:space="preserve">Prof. Mehta returned the papers and I got an A in thermodynamics, so happy. I did a small dance in the corridor when nobody was watching. But Rutu failed again and she was crying in the washroom, I felt so bad for her. I sat with her till she calmed down. The marks were written in pencil first and then inked over, which made it feel final. I took a photo of the sheet and sent it to my group chat. Rutu's marks were just two short of passing, and she had been up for three nights. I bought two cups of chai from the stall and we sat on the steps outside the department for a long time.</t>
  </si>
  <si>
    <t xml:space="preserve">joy, sadness</t>
  </si>
  <si>
    <t xml:space="preserve">S069</t>
  </si>
  <si>
    <t xml:space="preserve">Spent the afternoon with Nani and she told me stories from her childhood, I felt so warm and content. She made me promise to visit every month. On the way back I got a call from the bank about my education loan EMI and instantly got stressed. I could not even enjoy the bus ride after that.</t>
  </si>
  <si>
    <t xml:space="preserve">contentment, stress</t>
  </si>
  <si>
    <t xml:space="preserve">S070</t>
  </si>
  <si>
    <t xml:space="preserve">My girlfriend lied to me about where she was last Friday and I found out through Instagram. I am so angry. At the same time I feel guilty for checking her profile in the first place. I do not know which one of us is more at fault.</t>
  </si>
  <si>
    <t xml:space="preserve">anger, guilt</t>
  </si>
  <si>
    <t xml:space="preserve">S071</t>
  </si>
  <si>
    <t xml:space="preserve">My sister is getting engaged in March and I am honestly thrilled for her. We have been planning the outfits on video call every night. But Mom keeps asking when I will settle down too, and it is making me anxious. I just changed the topic again. The date and the venue are fixed and the invitations are already printed. My sister has sent us photos of three lehengas and we voted on them in the family group chat. I am in charge of the music playlist and the welcome board, which I started designing on my laptop already.</t>
  </si>
  <si>
    <t xml:space="preserve">S072</t>
  </si>
  <si>
    <t xml:space="preserve">The canteen guy gave me extra rice without even asking, such a small thing but I was really grateful. Then I saw my CGPA on the portal and my mood just dropped, 6.4. I do not know how I will explain it at home.</t>
  </si>
  <si>
    <t xml:space="preserve">gratitude, sadness</t>
  </si>
  <si>
    <t xml:space="preserve">S073</t>
  </si>
  <si>
    <t xml:space="preserve">Finally cleared the backlog paper and I felt such a relief, I almost danced in the corridor. It was hanging over me for a full year, I could not even look at that subject without feeling sick. Dad called after that and asked why it took me so long, and I was annoyed that he could not just be happy for me. I know he means well but it would have been nice to hear well done even once. I did not say any of this, just said okay and hung up.</t>
  </si>
  <si>
    <t xml:space="preserve">joy, anger</t>
  </si>
  <si>
    <t xml:space="preserve">S074</t>
  </si>
  <si>
    <t xml:space="preserve">Kartik made fun of my accent in front of the whole class and I wanted to disappear right there. My face was burning and the professor pretended not to hear. Later Neha came and sat next to me and said she liked how I speak, it made my day. I almost cried but in a good way. Nobody in the class said anything for a few seconds and then the lecture just continued. During the break I took my bottle and went to the corridor to avoid the others. When I came back there was a note on my desk that said the next group discussion was moved to the library. I folded the note and kept it in my notebook.</t>
  </si>
  <si>
    <t xml:space="preserve">guilt, joy</t>
  </si>
  <si>
    <t xml:space="preserve">S075</t>
  </si>
  <si>
    <t xml:space="preserve">Skipped the gym again this week and I feel guilty about it. But then I made a proper healthy breakfast today and I feel really proud of that. I know it is a small win but I needed it.</t>
  </si>
  <si>
    <t xml:space="preserve">guilt, pride</t>
  </si>
  <si>
    <t xml:space="preserve">S076</t>
  </si>
  <si>
    <t xml:space="preserve">The electricity went out right before my online interview and I panicked so badly. I ran to the neighbour's flat with my laptop at 1% battery. The power came back in five minutes and the interviewer was kind about it, I felt so lucky. I had set up the lights and tested the camera twice that afternoon, so the power cut was really badly timed. I connected the laptop to my phone's hotspot and joined from the staircase because the signal was better there. The call went on for forty minutes and the questions were mostly about my project. After it ended, I sat on the stairs with my back against the wall for a while.</t>
  </si>
  <si>
    <t xml:space="preserve">fear, joy</t>
  </si>
  <si>
    <t xml:space="preserve">S077</t>
  </si>
  <si>
    <t xml:space="preserve">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</si>
  <si>
    <t xml:space="preserve">joy, stress</t>
  </si>
  <si>
    <t xml:space="preserve">S078</t>
  </si>
  <si>
    <t xml:space="preserve">I scored the winning goal in the hostel football match, everyone was shouting my name and I felt on top of the world. Later I found out my knee was bleeding and honestly I was scared it was serious. The warden's first aid box was empty, of course.</t>
  </si>
  <si>
    <t xml:space="preserve">S079</t>
  </si>
  <si>
    <t xml:space="preserve">My landlord returned the full deposit without any deduction and I was so surprised. I had already written off half of it in my head. But the new flat is 3 km farther from college and I already hate the commute. Another hour on the bus every day.</t>
  </si>
  <si>
    <t xml:space="preserve">surprise, anger</t>
  </si>
  <si>
    <t xml:space="preserve">S080</t>
  </si>
  <si>
    <t xml:space="preserve">Anjali messaged to say she is leaving the project team, and I felt betrayed after all the late nights. Then Sir called me in and offered me the lead role, I was stunned. I walked out of his cabin not sure whether to laugh or panic.</t>
  </si>
  <si>
    <t xml:space="preserve">anger, surprise</t>
  </si>
  <si>
    <t xml:space="preserve">S081</t>
  </si>
  <si>
    <t xml:space="preserve">Went to the old school ground in Nashik and it brought back so many memories, I felt really happy. The same cracked bench, the same gulmohar tree. Then I saw my old teacher had passed away last year when I read the notice board near the gate, and I just sat there feeling sad. I never got to say thank you to her. I sat there for almost an hour before I realised it was getting dark.</t>
  </si>
  <si>
    <t xml:space="preserve">S082</t>
  </si>
  <si>
    <t xml:space="preserve">My girlfriend and I finally cleared the air after two weeks of not talking, I feel so relieved and happy. We sat on the terrace till late and talked more than we have in months. But I am worried it will happen again because we did not really talk about the root problem. I keep telling myself to not overthink.</t>
  </si>
  <si>
    <t xml:space="preserve">S083</t>
  </si>
  <si>
    <t xml:space="preserve">My professor praised my paper in front of the class and I felt proud and a bit shy. After class my labmate said I just got lucky, and it stung more than I want to admit. I know he did not mean it badly. Still it stayed with me till night. The paper was about graph algorithms and I had worked on it for almost the whole semester. In the lab afterwards two people asked me for the code and I shared the link. I made a cup of coffee and sat at my desk till late, rereading the review comments and the mistakes I had marked in red.</t>
  </si>
  <si>
    <t xml:space="preserve">S084</t>
  </si>
  <si>
    <t xml:space="preserve">Bought my first pair of running shoes with my own stipend and I feel so independent. I kept looking at the box on the way home. Then the hostel fees bill arrived and I am so stressed, the whole stipend is gone.</t>
  </si>
  <si>
    <t xml:space="preserve">pride, stress</t>
  </si>
  <si>
    <t xml:space="preserve">S085</t>
  </si>
  <si>
    <t xml:space="preserve">Rutu's dance performance at the fest was unreal and I clapped till my hands hurt, so proud of her. She had been practising for two months in the corridor. After that I could not find my phone anywhere and I was in a total panic. It was in my jacket pocket the whole time.</t>
  </si>
  <si>
    <t xml:space="preserve">pride, fear</t>
  </si>
  <si>
    <t xml:space="preserve">S086</t>
  </si>
  <si>
    <t xml:space="preserve">Saw my name on the interview shortlist for Infosys. So excited and nervous at the same time. The list is on the department board and I took a photo of it in case it gets removed. The interviews will be held in the seminar hall.</t>
  </si>
  <si>
    <t xml:space="preserve">one cause, two emotions</t>
  </si>
  <si>
    <t xml:space="preserve">S087</t>
  </si>
  <si>
    <t xml:space="preserve">My brother is leaving for the US next month for his masters. I am proud of him but I am going to miss him like crazy. We have never stayed apart for more than a week.</t>
  </si>
  <si>
    <t xml:space="preserve">S088</t>
  </si>
  <si>
    <t xml:space="preserve">Moved into the new hostel room today, with a balcony and everything. Excited about the new place but also kind of scared of living alone. The corridor is so quiet compared to my old floor.</t>
  </si>
  <si>
    <t xml:space="preserve">S089</t>
  </si>
  <si>
    <t xml:space="preserve">Dad finally came to watch my match and I could not believe it. I was happy and a little shocked, he never comes to anything. The match was against the other hostel and we lost on penalties. After it he stood near the fence for a while and then left on his bike.</t>
  </si>
  <si>
    <t xml:space="preserve">joy, surprise</t>
  </si>
  <si>
    <t xml:space="preserve">S090</t>
  </si>
  <si>
    <t xml:space="preserve">Had to give a surprise speech at Jai's farewell. I felt really nervous but also kind of proud when people clapped. My hands were cold the whole time. I had written two lines on a slip and ended up speaking for almost five minutes. Afterwards a few people came up to shake my hand.</t>
  </si>
  <si>
    <t xml:space="preserve">fear, pride</t>
  </si>
  <si>
    <t xml:space="preserve">S091</t>
  </si>
  <si>
    <t xml:space="preserve">Honestly feeling so grateful right now.</t>
  </si>
  <si>
    <t xml:space="preserve">emotion only</t>
  </si>
  <si>
    <t xml:space="preserve">S092</t>
  </si>
  <si>
    <t xml:space="preserve">So angry right now, cannot even type properly.</t>
  </si>
  <si>
    <t xml:space="preserve">S093</t>
  </si>
  <si>
    <t xml:space="preserve">Feeling a little anxious again today.</t>
  </si>
  <si>
    <t xml:space="preserve">S094</t>
  </si>
  <si>
    <t xml:space="preserve">Just feeling really proud of myself.</t>
  </si>
  <si>
    <t xml:space="preserve">S095</t>
  </si>
  <si>
    <t xml:space="preserve">Missing Nani so much, wish I could just call her.</t>
  </si>
  <si>
    <t xml:space="preserve">S096</t>
  </si>
  <si>
    <t xml:space="preserve">Had class from 9 to 1, then went to the library in Pune for two hours and came back by bus. Ate dal rice for dinner, finished one chapter of notes and slept at 11 lol. In the evening I talked to two friends in the corridor about the assignment.</t>
  </si>
  <si>
    <t xml:space="preserve">neutral</t>
  </si>
  <si>
    <t xml:space="preserve">no emotion</t>
  </si>
  <si>
    <t xml:space="preserve">S097</t>
  </si>
  <si>
    <t xml:space="preserve">Today I washed clothes, cleaned the desk, and updated my resume. Mom asked if I ate and I said yes. Then I watched two episodes of a show and slept. After that I charged my power bank and packed my bag.</t>
  </si>
  <si>
    <t xml:space="preserve">S098</t>
  </si>
  <si>
    <t xml:space="preserve">Attended the tech talk at COEP on cloud computing. Took notes on the slides and met two seniors after the session. The talk started at 3 and ended at 5, then we went to the canteen for tea.</t>
  </si>
  <si>
    <t xml:space="preserve">S099</t>
  </si>
  <si>
    <t xml:space="preserve">Bought vegetables from the market, paid the electricity bill online and called the plumber for Thursday. Also refilled the water filter and sorted the clothes that need ironing. It took almost two hours in total and I carried everything back in two heavy bags.</t>
  </si>
  <si>
    <t xml:space="preserve">S100</t>
  </si>
  <si>
    <t xml:space="preserve">Reached the station at 6, boarded the 6:40 train to Nagpur with Raj and reached by noon. Slept most of the way. Had a vada pav at the station and then took an auto home.</t>
  </si>
  <si>
    <t xml:space="preserve">S101</t>
  </si>
  <si>
    <t xml:space="preserve">my knee has been hurting since the football match and today the physio said it might be a ligament thing. really scared i wont be able to play this season. need an MRI first. I have been icing it twice a day and wearing the brace even in the hostel. The team practice is on and I am only allowed to sit and watch.</t>
  </si>
  <si>
    <t xml:space="preserve">S102</t>
  </si>
  <si>
    <t xml:space="preserve">paid 4500 for the lab kit and my account is at 600 now. so stressed, there are still 10 days left in the month and mess fees to pay too. I had taken the money out in cash from the ATM near the gate and stood in a long queue for it. At the counter they checked the list twice and handed over the box with the wires and the board inside. I walked back with the box in both hands because it did not fit in my bag. On the way I did the calculation for the rest of the days on my phone and kept deleting the number. Ended up cutting the evening snacks from my list for now.</t>
  </si>
  <si>
    <t xml:space="preserve">S103</t>
  </si>
  <si>
    <t xml:space="preserve">my boyfriend said he was busy but posted a story at the cafe with his friends. so angry rn, he doesnt even try to hide it. I did not reply to his message and put my phone face down on the table. Then I watched the same episode twice without following anything.</t>
  </si>
  <si>
    <t xml:space="preserve">S104</t>
  </si>
  <si>
    <t xml:space="preserve">slept a full 8 hours for the first time in weeks and woke up without the alarm. feeling so light and rested today. My alarm did not even ring because i had switched it off by mistake. The room was bright and the fan was running at the lowest speed.</t>
  </si>
  <si>
    <t xml:space="preserve">S105</t>
  </si>
  <si>
    <t xml:space="preserve">got my first freelance payment of 8000 in the account. soooo happy, finally can pay for my own laptop emi. I had been waiting for it since the project ended and had already checked the account three times in the morning. The client had said the transfer takes two working days but it came in just after lunch. I screenshotted the message and kept it in a folder. Then I opened the laptop store website and added the model i wanted to the cart, and compared the monthly instalments for twenty minutes. The cart is still open in the other tab.</t>
  </si>
  <si>
    <t xml:space="preserve">S106</t>
  </si>
  <si>
    <t xml:space="preserve">my girlfriend remembered the tiny thing i said about the book and got it for me. i am so thankful for her, she actually listens. It is a small paperback with a blue cover and she had to order it from another shop. She had written a tiny note on the first page too.</t>
  </si>
  <si>
    <t xml:space="preserve">S107</t>
  </si>
  <si>
    <t xml:space="preserve">opened my bag at lunch and there was a note from didi saying all the best for the exam. totally did not expect that, she is 600 km away. Also there was a chocolate stuck to the note. Ate it on the way to the class.</t>
  </si>
  <si>
    <t xml:space="preserve">S108</t>
  </si>
  <si>
    <t xml:space="preserve">i skipped my sister's call again for the third time this week and she just left a voice note saying take care. i feel really bad about it. It has been a rough few days and the calls are the only time my sister talks to me about home. I will call her back after dinner, i promise myself that.</t>
  </si>
  <si>
    <t xml:space="preserve">S109</t>
  </si>
  <si>
    <t xml:space="preserve">the hostel mess served the same watery dal again and two people got stomach infection. honestly furious, we complained twice already. I took photos of the plate they served and sent them to the group. Someone said it will be taken up with the hostel office.</t>
  </si>
  <si>
    <t xml:space="preserve">S110</t>
  </si>
  <si>
    <t xml:space="preserve">cooked a full meal for six people for my birthday party and nobody complained. so proud of myself, i never thought i could. I started at noon with the vegetables and made lists on the back of an old notebook so that nothing was missed. Two of the burners were not working so i had to make the rice and the curry one after the other in the shared kitchen. The guests came at seven and the table was too small so we ate in two batches. By ten the vessels were piled up in the sink and my feet were aching. We cut the cake near midnight and took a lot of photos in the corridor.</t>
  </si>
  <si>
    <t xml:space="preserve">S111</t>
  </si>
  <si>
    <t xml:space="preserve">we broke up after dinner. i keep staring at her last message and i feel so empty. I kept looking at her last message and did not type anything. Put the phone in the drawer and went to the washroom to wash my face.</t>
  </si>
  <si>
    <t xml:space="preserve">S112</t>
  </si>
  <si>
    <t xml:space="preserve">the college sent a mail that the fee has to be paid in 5 days or i lose the seat. really anxious, dad is still arranging the money. i keep refreshing the bank app like it will change anything.</t>
  </si>
  <si>
    <t xml:space="preserve">S113</t>
  </si>
  <si>
    <t xml:space="preserve">sat on the terrace with my roommates and shared one maggi packet between four of us. nothing fancy but i felt very at peace. We spread a bedsheet on the floor of the terrace and brought down the blanket from the room. Someone played old songs from a phone speaker.</t>
  </si>
  <si>
    <t xml:space="preserve">S114</t>
  </si>
  <si>
    <t xml:space="preserve">have a fever since last night and the viva is in two days. so stressed, cant afford to miss it and cant even sit up straight. The thermometer said 101 and i took two tablets and drank lots of water but the fever did not come down. The viva is on the whole syllabus of the semester and the file is not even complete. I tried to read a chapter in bed and kept losing the lines. The clinic opens only at ten and i have to stand in the queue again. My roommates brought me soup from the mess and left it near the bed.</t>
  </si>
  <si>
    <t xml:space="preserve">S115</t>
  </si>
  <si>
    <t xml:space="preserve">she said yes!! i asked her to the farewell and she smiled and said yes. i am sooo happy my hands are still shaking. We were standing near the stairs after the rehearsal and there were people around. She tucked her hair behind her ear and said it again to be sure.</t>
  </si>
  <si>
    <t xml:space="preserve">S116</t>
  </si>
  <si>
    <t xml:space="preserve">the delivery guy charged 150 extra for a 500 rupee order and the app refund got rejected. so annoyed, this is the third time. I took screenshots of the bill and the chat with the support bot, and it replied with the same message again and again. The order itself was a book and some snacks.</t>
  </si>
  <si>
    <t xml:space="preserve">S117</t>
  </si>
  <si>
    <t xml:space="preserve">the nurse at the clinic stayed with me till my drip finished and even called my roommate. really grateful, i was so alone there. she did not have to do any of that.</t>
  </si>
  <si>
    <t xml:space="preserve">S118</t>
  </si>
  <si>
    <t xml:space="preserve">mummy cried on the phone about the roof leaking again and i cant even go home to help. feeling so helpless. She said the water comes in near the window every time it rains and the bucket fills up in an hour. I told her to ask for someone to fix it but she says it is not needed.</t>
  </si>
  <si>
    <t xml:space="preserve">S119</t>
  </si>
  <si>
    <t xml:space="preserve">my manager forwarded my small script to the whole team as a best practice. did not see that coming at all. It was just a ten line script that renames the files and nobody had noticed it. They are asking me to present it in the next meeting.</t>
  </si>
  <si>
    <t xml:space="preserve">S120</t>
  </si>
  <si>
    <t xml:space="preserve">the invigilator announced that mobile phones found in pockets will be cancelled and i had mine in my jeans. heart was pounding the whole first hour. i kept my hands on the desk and did not even look down.</t>
  </si>
  <si>
    <t xml:space="preserve">S121</t>
  </si>
  <si>
    <t xml:space="preserve">ran 8k today at 6am without walking once and my watch said new record. proud of that, three weeks of waking up early finally paid off. I stopped at the tea stall after that and stretched near the wall. The watch also showed my average pace for each kilometre.</t>
  </si>
  <si>
    <t xml:space="preserve">S122</t>
  </si>
  <si>
    <t xml:space="preserve">i read my gf's messages while she was in the shower and found nothing. i still feel so guilty about it. I put her phone back in the same spot exactly the way it was. I sat on the bed and pretended to read my notes till she came out.</t>
  </si>
  <si>
    <t xml:space="preserve">S123</t>
  </si>
  <si>
    <t xml:space="preserve">so relieved today because the scan report came back clear. I had been refreshing the portal since the morning. The lab sent the pdf in a mail.</t>
  </si>
  <si>
    <t xml:space="preserve">S124</t>
  </si>
  <si>
    <t xml:space="preserve">feeling heavy and tired since my roommate moved out and the room is empty. His bed is stripped and the cupboard is open and half empty. I keep switching the light on and off for no reason.</t>
  </si>
  <si>
    <t xml:space="preserve">S125</t>
  </si>
  <si>
    <t xml:space="preserve">i am worried about money again since the stipend still has not come and rent is due this week. I have already used the emergency money from my wallet. I am thinking of selling my old headphones on the app.</t>
  </si>
  <si>
    <t xml:space="preserve">S126</t>
  </si>
  <si>
    <t xml:space="preserve">really happy for riya because she finally got the visa after two rejections. she cried on the call and so did i. She had been preparing the documents for months and I helped her with the form twice. We are going for pizza when she is back.</t>
  </si>
  <si>
    <t xml:space="preserve">S127</t>
  </si>
  <si>
    <t xml:space="preserve">i feel embarrassed because i called the professor by the wrong name in front of everyone. Everyone turned and looked at me and someone laughed. I kept the rest of the class very quiet and wrote notes.</t>
  </si>
  <si>
    <t xml:space="preserve">S128</t>
  </si>
  <si>
    <t xml:space="preserve">angry at the landlord since he came into the flat without telling us. it is the second time he has done this. He just had a key and opened the door with the spare one while i was in the bathroom. We have asked him twice not to do this.</t>
  </si>
  <si>
    <t xml:space="preserve">S129</t>
  </si>
  <si>
    <t xml:space="preserve">so proud of my bro because he cleared the written exam on his first try. he studied at night shifts for months. He did not tell any of us before the result. We found out when he put the roll number in the family chat.</t>
  </si>
  <si>
    <t xml:space="preserve">S130</t>
  </si>
  <si>
    <t xml:space="preserve">kind of scared of my own thoughts tonight because the doctor said my reports need a follow up. I could not sleep and kept scrolling the same page. I put the phone on the charger and tried to read a magazine.</t>
  </si>
  <si>
    <t xml:space="preserve">S131</t>
  </si>
  <si>
    <t xml:space="preserve">i have been skipping breakfast for two weeks because i wake up late. today the nurse at the health centre checked my bp and said it is low. i honestly got scared hearing that, i dont want to end up fainting in class. i bought bananas and oats on the way back and put an alarm for 7.</t>
  </si>
  <si>
    <t xml:space="preserve">S132</t>
  </si>
  <si>
    <t xml:space="preserve">the credit card bill came and it is 7200 more than i thought. i opened the statement and went through every line twice. most of it was food delivery. i am so ashamed of myself honestly, i keep spending like money is free.</t>
  </si>
  <si>
    <t xml:space="preserve">S133</t>
  </si>
  <si>
    <t xml:space="preserve">my boyfriend did not reply to my text for the whole day and then sent a thumbs up in the night. i know he has exams. still it hurt, i just wanted two proper lines from him. I put the phone away and cleaned my desk for an hour. Then I made noodles and watched a documentary about birds.</t>
  </si>
  <si>
    <t xml:space="preserve">S134</t>
  </si>
  <si>
    <t xml:space="preserve">managed to go for a walk for 30 mins after dinner with the new playlist. nothing special happened. i feel more calm than usual, like my head is quieter. I took the long road around the college ground because i had no plan. The streetlights were on and a few people were jogging. I listened to two full songs without checking my phone. At the end i bought a cup of tea from the stall near the gate and drank it standing. Came back and finished the pending notes before sleeping.</t>
  </si>
  <si>
    <t xml:space="preserve">S135</t>
  </si>
  <si>
    <t xml:space="preserve">my scholarship got renewed for another year and the mail came at 5pm. i read it standing in the corridor three times. i am genuinely so happy i called home from the staircase. I took a screenshot and sent it to my parents. The reply was a long list of thumbs up and a photo of the sweet box that they had opened. After that i went back to the lab and did the pending reading. The rest of the day passed in a blur of small things. i also filled the form for the next installment and uploaded the documents one by one. The upload page kept timing out so it took forty minutes in total.</t>
  </si>
  <si>
    <t xml:space="preserve">S136</t>
  </si>
  <si>
    <t xml:space="preserve">came back from class and my roommate had cleaned the entire room and even folded my clothes. i stood at the door for a full minute. honestly shocked, he never does anything like that. He folded the towel in a neat triangle and kept the extra pillows on the shelf. The floor was shining and the dustbin was empty.</t>
  </si>
  <si>
    <t xml:space="preserve">S137</t>
  </si>
  <si>
    <t xml:space="preserve">the dissertation draft is due in 3 days and my guide has not replied to my mail since friday. i have not written the results section at all. my chest feels tight whenever i open the document. i closed the laptop twice and opened it again.</t>
  </si>
  <si>
    <t xml:space="preserve">S138</t>
  </si>
  <si>
    <t xml:space="preserve">papa told me again that my cousin earns more than me at the same age. i was at the dining table and everyone heard it. i just got so angry i left my food and went to my room. Someone kept refilling the plates and changing the topic. Even the cousins were looking at the floor.</t>
  </si>
  <si>
    <t xml:space="preserve">S139</t>
  </si>
  <si>
    <t xml:space="preserve">my close group went for the trip to Goa and i could not go because of the fees. they sent photos on the group chat all day. i muted it after lunch and felt really left out. I opened the chat again at night and scrolled through all of it. Then I put on a movie.</t>
  </si>
  <si>
    <t xml:space="preserve">S140</t>
  </si>
  <si>
    <t xml:space="preserve">i said the answer out loud in the class even though i was not sure. it was right. i walked out feeling taller than usual, i should do this more. The class moved on to the next question and i wrote it down in my notebook.</t>
  </si>
  <si>
    <t xml:space="preserve">S141</t>
  </si>
  <si>
    <t xml:space="preserve">i slept through my alarm and missed the morning lab. my lab partner had to do the whole setup alone. i texted sorry but he left me on read. i feel really bad about it.</t>
  </si>
  <si>
    <t xml:space="preserve">S142</t>
  </si>
  <si>
    <t xml:space="preserve">my father's pension got delayed again this month. mummy said not to worry but i could hear it in her voice. i keep calculating how long we can manage like this.</t>
  </si>
  <si>
    <t xml:space="preserve">S143</t>
  </si>
  <si>
    <t xml:space="preserve">we walked around the lake after college and did not even talk much. she held my hand the whole time. i felt so settled with her, like nothing was missing. It was almost dark by the time we sat on the steps near the water. A boy was selling roasted corn and we shared one. The wind was cold and I put my jacket on her shoulders. We took the last bus back and she fell asleep against the window for a few minutes. I got down two stops before mine to walk a little more.</t>
  </si>
  <si>
    <t xml:space="preserve">S144</t>
  </si>
  <si>
    <t xml:space="preserve">i fell off my cycle near the gate and bruised my elbow. three people ran to help and one of them even walked me to the clinic. i am really thankful for strangers like that.</t>
  </si>
  <si>
    <t xml:space="preserve">S145</t>
  </si>
  <si>
    <t xml:space="preserve">the supervisor accepted my abstract for the student conference. i read the mail with my hands over my mouth. today is going to be a good day i just know it.</t>
  </si>
  <si>
    <t xml:space="preserve">S146</t>
  </si>
  <si>
    <t xml:space="preserve">my grandfather fell in the bathroom last night and is at the hospital now. i am sitting in the bus with my bag and cannot stop shaking. the bus is so slow.</t>
  </si>
  <si>
    <t xml:space="preserve">S147</t>
  </si>
  <si>
    <t xml:space="preserve">the cab driver cancelled three times and then asked for extra to come. i missed the 5 pm train because of that. i was shouting on the phone like a madman and i hate it.</t>
  </si>
  <si>
    <t xml:space="preserve">S148</t>
  </si>
  <si>
    <t xml:space="preserve">finished the last page of the book i had been reading for two months. closed it and just sat there with tea. what a satisfying ending, i feel quietly happy.</t>
  </si>
  <si>
    <t xml:space="preserve">S149</t>
  </si>
  <si>
    <t xml:space="preserve">woke up at 4 and could not fall back asleep. this dull ache in my chest again. honestly just feel low. I tried a podcast and then the fan. The first bus sound came from the road at five.</t>
  </si>
  <si>
    <t xml:space="preserve">S150</t>
  </si>
  <si>
    <t xml:space="preserve">everyone is talking and laughing in the canteen and i feel so far away from all of them. no idea why. I took my tray and sat near the window. The tea was lukewarm and the noodles were soggy.</t>
  </si>
  <si>
    <t xml:space="preserve">S151</t>
  </si>
  <si>
    <t xml:space="preserve">feeling jittery since lunch, hands wont stay still. cant name a reason. I have drunk three cups of water since then. I tried to type my notes but the words moved around.</t>
  </si>
  <si>
    <t xml:space="preserve">S152</t>
  </si>
  <si>
    <t xml:space="preserve">walking back from the library and suddenly felt so light. dont know why but i could have danced. The corridor was empty and the sun was behind the library. I stopped to look at a dog sleeping on the steps.</t>
  </si>
  <si>
    <t xml:space="preserve">S153</t>
  </si>
  <si>
    <t xml:space="preserve">such a quiet evening. tea, window, the old songs. i feel quite okay with everything. The playlist was on shuffle and nothing came on that I wanted to skip. I made another cup and sat near the window.</t>
  </si>
  <si>
    <t xml:space="preserve">S154</t>
  </si>
  <si>
    <t xml:space="preserve">feeling off today, like i forgot to do something big. cant explain it.</t>
  </si>
  <si>
    <t xml:space="preserve">S155</t>
  </si>
  <si>
    <t xml:space="preserve">got this wave of gratitude while brushing my teeth lol. for everything, no reason. I wrote it in my notes app and then deleted it. Brushed twice, just to be sure.</t>
  </si>
  <si>
    <t xml:space="preserve">S156</t>
  </si>
  <si>
    <t xml:space="preserve">irritated at nothing in particular. every sound is too much, even my own typing.</t>
  </si>
  <si>
    <t xml:space="preserve">S157</t>
  </si>
  <si>
    <t xml:space="preserve">weirdly guilty tonight and i cant pin it down. like i owe somebody a call. I closed the laptop and opened it again. Then I put the phone in another room.</t>
  </si>
  <si>
    <t xml:space="preserve">S158</t>
  </si>
  <si>
    <t xml:space="preserve">so proud of this week though i cant say what exactly i did. maybe just getting through it.</t>
  </si>
  <si>
    <t xml:space="preserve">S159</t>
  </si>
  <si>
    <t xml:space="preserve">my stomach is in knots and nothing is even happening. just nervous for no reason. I fixed the bed, watered the plant and made a cup of tea. The room smelled like detergent.</t>
  </si>
  <si>
    <t xml:space="preserve">S160</t>
  </si>
  <si>
    <t xml:space="preserve">such a strangely peaceful day. no idea why but i feel calm.</t>
  </si>
  <si>
    <t xml:space="preserve">S161</t>
  </si>
  <si>
    <t xml:space="preserve">tired of trying so hard to look okay in front of everyone. dont even know since when.</t>
  </si>
  <si>
    <t xml:space="preserve">S162</t>
  </si>
  <si>
    <t xml:space="preserve">my eyes got wet on the bus for no reason, i was not even thinking about anything.</t>
  </si>
  <si>
    <t xml:space="preserve">S163</t>
  </si>
  <si>
    <t xml:space="preserve">woke up and everything felt too bright and too fast. i just wanted the day to slow down.</t>
  </si>
  <si>
    <t xml:space="preserve">S164</t>
  </si>
  <si>
    <t xml:space="preserve">my report came back normal and i was so relieved i laughed in the clinic. the nurse looked at me like i was crazy. then i got the bill, 3400 for tests that insurance will not cover, and my chest got tight again.</t>
  </si>
  <si>
    <t xml:space="preserve">S165</t>
  </si>
  <si>
    <t xml:space="preserve">he finally introduced me to his parents on a video call and they were so sweet to me. i was glowing the whole evening. but then he said he is not ready to talk about the future and i just went quiet. i did not say anything for the rest of the call.</t>
  </si>
  <si>
    <t xml:space="preserve">S166</t>
  </si>
  <si>
    <t xml:space="preserve">our internal review got postponed to friday which gave me two extra days and i felt such a relief. then my team lead sent a message that the scope has doubled and i got instantly anxious. i opened the doc and closed it three times.</t>
  </si>
  <si>
    <t xml:space="preserve">contentment, fear</t>
  </si>
  <si>
    <t xml:space="preserve">S167</t>
  </si>
  <si>
    <t xml:space="preserve">my roommate and i cooked dal khichdi at midnight and laughed so much that the warden knocked, i was so happy. in the morning my mom called and said my cousin is getting married and i must come home for ten days. i got annoyed immediately, i have two submissions.</t>
  </si>
  <si>
    <t xml:space="preserve">S168</t>
  </si>
  <si>
    <t xml:space="preserve">started the new course on machine learning and finished the first module in one sitting. i feel really proud of how focused i was. later i checked my bank balance and saw the course fee went through, nothing left till next month. so stressed now.</t>
  </si>
  <si>
    <t xml:space="preserve">S169</t>
  </si>
  <si>
    <t xml:space="preserve">i told my best friend that i got the internship before anyone else and she screamed so loud i had to hold the phone away. i was beaming. after the call i realised i would have to leave the city in april, and i felt a heavy sadness thinking of leaving her.</t>
  </si>
  <si>
    <t xml:space="preserve">S170</t>
  </si>
  <si>
    <t xml:space="preserve">the doctor said my sugar levels are borderline and i need to watch my diet. i went home and stared at the wall for a while, really scared. but then my sister sent a message that she will do the meal planning with me every sunday, which made me feel so supported and grateful.</t>
  </si>
  <si>
    <t xml:space="preserve">fear, gratitude</t>
  </si>
  <si>
    <t xml:space="preserve">S171</t>
  </si>
  <si>
    <t xml:space="preserve">found out that my ex is getting engaged from an instagram story. i felt a lump in my throat for like ten minutes. then i went for the gym session and the trainer said my form has improved a lot, i felt proud of myself.</t>
  </si>
  <si>
    <t xml:space="preserve">sadness, pride</t>
  </si>
  <si>
    <t xml:space="preserve">S172</t>
  </si>
  <si>
    <t xml:space="preserve">the rent got increased by 3000 and my flatmates wanted to split it equally even though i have the smallest room. i was so angry i kept quiet. later the owner called and said he will reduce it by 1000 for me, i was surprised and a little grateful.</t>
  </si>
  <si>
    <t xml:space="preserve">S173</t>
  </si>
  <si>
    <t xml:space="preserve">my lab partner copied the entire report from me and submitted it first. i was so angry i could not eat. but then the professor praised my viva and said it was the best in the batch, so i went from furious to really proud in two hours.</t>
  </si>
  <si>
    <t xml:space="preserve">anger, pride</t>
  </si>
  <si>
    <t xml:space="preserve">S174</t>
  </si>
  <si>
    <t xml:space="preserve">i missed the bus and had to walk 4 km in the sun, drenched in sweat. i was so irritated. when i finally reached, my friends had saved me a seat and ordered my favourite tea, and i felt so cared for.</t>
  </si>
  <si>
    <t xml:space="preserve">anger, gratitude</t>
  </si>
  <si>
    <t xml:space="preserve">S175</t>
  </si>
  <si>
    <t xml:space="preserve">my phone rang at 2 am and it was an unknown number, my heart stopped. it turned out to be my cousin calling from abroad to say he reached safely. i was a little annoyed that he did not check the time.</t>
  </si>
  <si>
    <t xml:space="preserve">fear, anger</t>
  </si>
  <si>
    <t xml:space="preserve">S176</t>
  </si>
  <si>
    <t xml:space="preserve">got the biopsy report today and it is benign. i sat in the parking lot and cried with relief. then my boss texted me that the client meeting is moved to monday morning and i felt my stomach drop.</t>
  </si>
  <si>
    <t xml:space="preserve">S177</t>
  </si>
  <si>
    <t xml:space="preserve">i got a 92 in the entrance mock and i could not stop smiling at my laptop. three more mocks to go though, and the thought of the real exam in two weeks makes my hands cold.</t>
  </si>
  <si>
    <t xml:space="preserve">S178</t>
  </si>
  <si>
    <t xml:space="preserve">we went for ice cream after the match and i paid for everyone with my own savings, it felt so good to treat them. then i got the notification that my balance is 340 and the month has 12 days left, and i felt a bit foolish.</t>
  </si>
  <si>
    <t xml:space="preserve">joy, guilt</t>
  </si>
  <si>
    <t xml:space="preserve">S179</t>
  </si>
  <si>
    <t xml:space="preserve">my grandmother taught me how to make her special chutney and i wrote the whole recipe in my diary. i felt so warm inside. at night mom told me that nani has not been taking her medicines properly, and i could not sleep from worry.</t>
  </si>
  <si>
    <t xml:space="preserve">S180</t>
  </si>
  <si>
    <t xml:space="preserve">i finally told her how i feel and she said she needs time. i was so relieved because she was honest and did not just ghost me. but my heart feels so heavy since the conversation.</t>
  </si>
  <si>
    <t xml:space="preserve">contentment, sadness</t>
  </si>
  <si>
    <t xml:space="preserve">S181</t>
  </si>
  <si>
    <t xml:space="preserve">the electricity bill in the pg came 2100 higher because someone left the heater on all week. i am so frustrated. at the same time the pg uncle gave us tea and said he will talk to everyone, which made me calm down.</t>
  </si>
  <si>
    <t xml:space="preserve">anger, contentment</t>
  </si>
  <si>
    <t xml:space="preserve">S182</t>
  </si>
  <si>
    <t xml:space="preserve">i overslept and missed the first half of the workshop, felt so careless. but the organiser let me join the second half and even shared the slides with me, i was surprised by how kind he was.</t>
  </si>
  <si>
    <t xml:space="preserve">guilt, surprise</t>
  </si>
  <si>
    <t xml:space="preserve">S183</t>
  </si>
  <si>
    <t xml:space="preserve">dadu told me the same story about the 1971 war for the tenth time today and i smiled through it. honestly it felt so comforting. but when he started coughing badly i got very scared and ran to call mummy.</t>
  </si>
  <si>
    <t xml:space="preserve">S184</t>
  </si>
  <si>
    <t xml:space="preserve">got the placement offer but the location is Hyderabad, away from home. happy and anxious at once. I read the mail again and then called nobody. The joining letter is attached as a pdf.</t>
  </si>
  <si>
    <t xml:space="preserve">S185</t>
  </si>
  <si>
    <t xml:space="preserve">my best friend is getting married in december and i am happy for her but also feel left behind. She sent the card with a pressed flower and we are in the same group chat for it. I scrolled through the photos from her engagement.</t>
  </si>
  <si>
    <t xml:space="preserve">S186</t>
  </si>
  <si>
    <t xml:space="preserve">the doctor said the fracture will heal in 6 weeks without surgery. relieved and a little scared of the long recovery. They put the cast on and gave me a sheet with exercises. The billing counter was near the exit.</t>
  </si>
  <si>
    <t xml:space="preserve">S187</t>
  </si>
  <si>
    <t xml:space="preserve">she sent me a long voice note saying she misses me. i smiled like a fool and also felt a pang of guilt that i have been too busy to reply. I typed a long reply and deleted it twice, then sent a short one. Put the phone on the table and drank some water.</t>
  </si>
  <si>
    <t xml:space="preserve">S188</t>
  </si>
  <si>
    <t xml:space="preserve">my salary came in today, the first one. proud of myself and also so nervous about managing it right. I made a note of the budget on a sheet of paper and put it on the wall. Bought a notebook from the shop downstairs.</t>
  </si>
  <si>
    <t xml:space="preserve">S189</t>
  </si>
  <si>
    <t xml:space="preserve">the professor announced the project groups and i got paired with someone i have never spoken to. excited to meet someone new and nervous at the same time. i spent the break looking for his name on the class list.</t>
  </si>
  <si>
    <t xml:space="preserve">S190</t>
  </si>
  <si>
    <t xml:space="preserve">feeling really grateful tonight.</t>
  </si>
  <si>
    <t xml:space="preserve">S191</t>
  </si>
  <si>
    <t xml:space="preserve">so relieved.</t>
  </si>
  <si>
    <t xml:space="preserve">S192</t>
  </si>
  <si>
    <t xml:space="preserve">ugh so annoyed again.</t>
  </si>
  <si>
    <t xml:space="preserve">S193</t>
  </si>
  <si>
    <t xml:space="preserve">feeling a bit lonely today.</t>
  </si>
  <si>
    <t xml:space="preserve">S194</t>
  </si>
  <si>
    <t xml:space="preserve">really excited!!</t>
  </si>
  <si>
    <t xml:space="preserve">S195</t>
  </si>
  <si>
    <t xml:space="preserve">gym at 6, leg day. then 2 hours of ML lecture and a quick lunch at the mess. submitted the assignment on the portal and came back to the room by 5.</t>
  </si>
  <si>
    <t xml:space="preserve">S196</t>
  </si>
  <si>
    <t xml:space="preserve">went to the bank to update my passbook, stood in the line for 40 mins. bought stationery from the shop near the gate and recharged my phone. took an auto back to the hostel.</t>
  </si>
  <si>
    <t xml:space="preserve">S197</t>
  </si>
  <si>
    <t xml:space="preserve">took the 7:10 train to Pune with Karan for the hackathon. we reached by 11, registered and got the badges. dinner was at the venue and we got back to the hotel by midnight.</t>
  </si>
  <si>
    <t xml:space="preserve">S198</t>
  </si>
  <si>
    <t xml:space="preserve">meal prepped for the week: rice, rajma, boiled eggs. folded the laundry, replied to three mails and called mom for five minutes. then cleaned the desk and sorted the notes into folders by subject.</t>
  </si>
  <si>
    <t xml:space="preserve">S199</t>
  </si>
  <si>
    <t xml:space="preserve">attended the placement talk by Infosys at 4. took notes on the eligibility criteria and the test pattern. will apply tonight.</t>
  </si>
  <si>
    <t xml:space="preserve">S200</t>
  </si>
  <si>
    <t xml:space="preserve">clinic appointment at 11, got a blood test done and collected the report in the evening. picked up groceries on the way back and put the report in the file.</t>
  </si>
  <si>
    <t xml:space="preserve">S201</t>
  </si>
  <si>
    <t xml:space="preserve">Finally cleaned and reorganised my entire desk after weeks of putting it off. Threw out about forty pages of useless printouts, sorted the cables into a box and even wiped the monitor. The whole thing took three hours and I put on old Kishore Kumar songs the entire time. Honestly proud of myself for actually finishing it, my room looks like someone else lives here now. I took a photo to remind myself it is possible.</t>
  </si>
  <si>
    <t xml:space="preserve">S202</t>
  </si>
  <si>
    <t xml:space="preserve">did yoga on the terrace for 20 mins today with the sunrise coming up. my shoulders stopped aching for the first time in weeks. feeling really calm and loose, should do this every day. I rolled out the mat on the terrace floor and did the sun salutations slowly, counting the breaths. A pigeon kept walking along the edge of the water tank and watching me. After the last pose i lay on the mat for five minutes with my eyes closed and listened to the traffic far below. Then I drank a glass of warm water and made poha for breakfast.</t>
  </si>
  <si>
    <t xml:space="preserve">S203</t>
  </si>
  <si>
    <t xml:space="preserve">Aarav lent me 3000 till the stipend comes without even asking why. really thankful, i was too embarrassed to ask anyone.</t>
  </si>
  <si>
    <t xml:space="preserve">S204</t>
  </si>
  <si>
    <t xml:space="preserve">walked into the common room and the whole floor had put up balloons and a banner for my birthday. i had told nobody. completely stunned, i just stood there with my bag still on my shoulder. There were streamers on the door of every room and someone had stuck my old photo on the notice board with a funny caption. A cake was waiting on the table in the corridor with my name spelled wrong in icing. We cut it anyway and everyone took turns feeding each other pieces. The music went on till the late round and then we whispered the rest of the night.</t>
  </si>
  <si>
    <t xml:space="preserve">S205</t>
  </si>
  <si>
    <t xml:space="preserve">I picked up a pen from the bank counter and walked out with it without noticing. so guilty, it is just a pen but i keep thinking about it.</t>
  </si>
  <si>
    <t xml:space="preserve">S206</t>
  </si>
  <si>
    <t xml:space="preserve">Meera texted me good morning with a cat sticker and then sent a voice note singing off key. I replayed it four times at my desk. so happy, this is the best start to a monday i have had. I was in the middle of a boring lab manual when the notification came and I forgot what i was typing. At lunch I showed the sticker to two people at the table and they laughed at the cat's face. The rest of the day went by quickly and i did not even check the clock until it was dark.</t>
  </si>
  <si>
    <t xml:space="preserve">S207</t>
  </si>
  <si>
    <t xml:space="preserve">The client moved the demo from friday to wednesday and nobody told the backend team until the afternoon. I was in the middle of fixing the login bug when the message came. We now have two days to finish the payment module, write the test cases and prepare the slides. Rohit already said he will be offline tomorrow for a function. I am so stressed i skipped lunch and just kept typing, my head is buzzing.</t>
  </si>
  <si>
    <t xml:space="preserve">S208</t>
  </si>
  <si>
    <t xml:space="preserve">got a rash on my arms after the new detergent and it is spreading. really worried it might be something serious.</t>
  </si>
  <si>
    <t xml:space="preserve">S209</t>
  </si>
  <si>
    <t xml:space="preserve">Spent the whole afternoon at Priya's place helping her fix her bike and then eating fresh pakoras on the balcony. Nothing happened, we barely talked, but I felt completely at ease. We took the chain off, cleaned it with kerosene and then oiled every link one by one. Her hands were black with grease and she wiped them on an old towel. Then we sat on the balcony floor and watched the street below while the sun slowly dropped behind the water tower.</t>
  </si>
  <si>
    <t xml:space="preserve">S210</t>
  </si>
  <si>
    <t xml:space="preserve">the airline cancelled my flight to Chennai an hour before departure and the refund will take 15 days. so angry, i had already taken leave for this.</t>
  </si>
  <si>
    <t xml:space="preserve">S211</t>
  </si>
  <si>
    <t xml:space="preserve">I deleted all my old photos from first year because the storage was full and later realised the folder with the trip pictures was gone too. i keep checking the recycle bin hoping it comes back. feeling really hollow about it. The folder had pictures from the beach, the hill station and the farewell, and some of them i had never backed up anywhere. I tried two recovery apps and both of them showed an empty list. I went through the cloud storage and the other laptop too but nothing came up. I sat in front of the screen with the cursor blinking for quite a while.</t>
  </si>
  <si>
    <t xml:space="preserve">S212</t>
  </si>
  <si>
    <t xml:space="preserve">Did my first full pull-up at the gym today. so proud, six months ago i could not even hang for ten seconds.</t>
  </si>
  <si>
    <t xml:space="preserve">S213</t>
  </si>
  <si>
    <t xml:space="preserve">checked my account before buying lunch and there was an extra 2500 there. turns out the college had refunded the library deposit i forgot about. totally did not expect that, i did a small happy dance at the atm. The deposit was from the first week of first year and I had completely forgotten it existed. I opened the bank statement to confirm, and the line said library refund with a small reference number. I bought a proper lunch and also a cold coffee, which i never do. Then i put the rest of the money into the savings folder in the app.</t>
  </si>
  <si>
    <t xml:space="preserve">S214</t>
  </si>
  <si>
    <t xml:space="preserve">Our startup pitch at the Pune hackathon got picked for the final round out of 60 teams. We had stayed up for two nights building the prototype and the demo broke twice during the practice run. When our team name was called from the stage, all four of us just froze and then started screaming at the same time. I have never felt this kind of adrenaline before, it is such a rush, i am so happy i cannot even type properly.</t>
  </si>
  <si>
    <t xml:space="preserve">S215</t>
  </si>
  <si>
    <t xml:space="preserve">the printer jammed 5 mins before the submission deadline and the queue behind me kept growing. so stressed, my hands were shaking.</t>
  </si>
  <si>
    <t xml:space="preserve">S216</t>
  </si>
  <si>
    <t xml:space="preserve">I forgot to wish Dev on his birthday and only realised at night when everyone had already posted stories. i sent a late message but he left it on seen. feel terrible about it.</t>
  </si>
  <si>
    <t xml:space="preserve">S217</t>
  </si>
  <si>
    <t xml:space="preserve">had a long hot shower and then read in bed with the lamp on. feeling snug and quiet, no complaints.</t>
  </si>
  <si>
    <t xml:space="preserve">S218</t>
  </si>
  <si>
    <t xml:space="preserve">Ankit told me he would call at nine and then did not call at all. I waited with my phone in my hand like a fool, rehearsing what to say about his exam. At eleven he sent one line saying he fell asleep. I was not even angry about the sleeping, it was the way he did not think of messaging earlier. I typed a long reply and deleted it three times. I am so angry and tired of explaining the same thing again and again.</t>
  </si>
  <si>
    <t xml:space="preserve">S219</t>
  </si>
  <si>
    <t xml:space="preserve">found a 500 note in my old jeans pocket while doing laundry. sooo happy lol, it made my whole day.</t>
  </si>
  <si>
    <t xml:space="preserve">S220</t>
  </si>
  <si>
    <t xml:space="preserve">The physiotherapy exercises take forty minutes twice a day and my elbow still hurts when i type. I have an assignment to type out and the typing makes the pain worse. so stressed about how to manage both.</t>
  </si>
  <si>
    <t xml:space="preserve">S221</t>
  </si>
  <si>
    <t xml:space="preserve">Neha stayed on call with me till 2 am while i fixed my resume. grateful for people like her, honestly.</t>
  </si>
  <si>
    <t xml:space="preserve">S222</t>
  </si>
  <si>
    <t xml:space="preserve">I gave my first ever talk at the Kolkata book club about the novel i read last year. 15 people came and two even asked questions. proud of myself for not skipping it like i usually do.</t>
  </si>
  <si>
    <t xml:space="preserve">S223</t>
  </si>
  <si>
    <t xml:space="preserve">the stranger sitting next to me on the train turned out to be from my own school batch. completely shocked, we talked all the way to Nagpur.</t>
  </si>
  <si>
    <t xml:space="preserve">S224</t>
  </si>
  <si>
    <t xml:space="preserve">I ordered a 1800 rupee jacket online even though i had promised myself no shopping till next month. Opened the box and it was exactly what i did not need. I feel so guilty about wasting money, the budget sheet is open and i do not want to look at it. The colour was off and the sleeves were too long, and the return window is only three days. I checked the policy page twice and found that returns need the original tags, which i had already cut. I put the jacket back in the box and pushed it under the bed.</t>
  </si>
  <si>
    <t xml:space="preserve">S225</t>
  </si>
  <si>
    <t xml:space="preserve">The corner pharmacy gave me my medicines at the old price even though the rate had gone up, and the staff even reminded me to take them after food. Really thankful. I have been buying the same tablets for months now and it adds up every time. The shop is tiny, with a fan that wobbles and a bench with a torn cover, but they never make me feel rushed. I told them i will bring sweets next week.</t>
  </si>
  <si>
    <t xml:space="preserve">S226</t>
  </si>
  <si>
    <t xml:space="preserve">scrolled through my old chat with Riya for an hour. it hurts to see how close we were. feeling really low now.</t>
  </si>
  <si>
    <t xml:space="preserve">S227</t>
  </si>
  <si>
    <t xml:space="preserve">Kabir and I cooked together for the first time and the pasta was a bit salty but we ate it all anyway. We sat on the kitchen floor with two spoons. It felt so natural, so calm. We chopped the onions together and he cried more than i did. The pan was too small so some of the pasta fell onto the stove. We laughed about it and wiped it up with a paper towel. The kitchen smelled of garlic for the rest of the evening.</t>
  </si>
  <si>
    <t xml:space="preserve">S228</t>
  </si>
  <si>
    <t xml:space="preserve">got 94 in the paper i thought i had failed. what a shock, i checked the roll number twice.</t>
  </si>
  <si>
    <t xml:space="preserve">S229</t>
  </si>
  <si>
    <t xml:space="preserve">The water supply in our building stopped on saturday and has not come back. We have been filling buckets from the tap near the bus stand and carrying them up four floors. My clothes are piling up and i have not showered properly in two days. The society message says the tanker will come on monday, but the last time it took a full week. I feel stuck and sweaty and so stressed about the presentation i have to give with unwashed hair.</t>
  </si>
  <si>
    <t xml:space="preserve">S230</t>
  </si>
  <si>
    <t xml:space="preserve">Arjun and Tanya came to Indore just to surprise me for the weekend. so happy to see them, we hugged in the middle of the station.</t>
  </si>
  <si>
    <t xml:space="preserve">S231</t>
  </si>
  <si>
    <t xml:space="preserve">I promised myself i would wake up at 6 and go for a run and then i hit snooze five times. Now it is noon and i have done nothing but scroll. I feel like i keep letting myself down. The alarm kept ringing every ten minutes and each time i pressed the button without even opening my eyes. When i finally woke up the sun was already high and my shoes were still near the door where i had left them. I made tea, sat on the bed with the phone and opened three apps one after another. By lunch the morning was gone and i had not even brushed my hair.</t>
  </si>
  <si>
    <t xml:space="preserve">S232</t>
  </si>
  <si>
    <t xml:space="preserve">my vitamin levels came back normal in the new report. feeling so settled, no more injections.</t>
  </si>
  <si>
    <t xml:space="preserve">S233</t>
  </si>
  <si>
    <t xml:space="preserve">Zomato charged me twice for the same order and the support chat kept repeating the same line. forty minutes of typing the order id again and again. so annoyed at this useless bot. The first answer said the refund would be processed in 5 to 7 working days. I asked again and it sent the same message. I uploaded screenshots of both payments and it sent the same message a third time. In the end i checked my bank app and saw both charges still pending.</t>
  </si>
  <si>
    <t xml:space="preserve">S234</t>
  </si>
  <si>
    <t xml:space="preserve">The monsoon started in Mumbai today and i got completely drenched on the way back from the station. I did not even open my umbrella. I laughed out loud on the street, so happy. The first drops fell around five and by the time i reached the road the whole street was a river. A bus splashed water over my bag and my shoes were completely wet. People were standing under the shop shutters looking at the sky. I walked slowly through the puddles and the smell of wet mud was everywhere.</t>
  </si>
  <si>
    <t xml:space="preserve">S235</t>
  </si>
  <si>
    <t xml:space="preserve">got selected as the department rep for the national symposium. proud, it is the first time someone from my batch is going.</t>
  </si>
  <si>
    <t xml:space="preserve">S236</t>
  </si>
  <si>
    <t xml:space="preserve">Sana said we need to talk about something important tonight. my mind is racing and i cannot focus on anything. scared it is bad news.</t>
  </si>
  <si>
    <t xml:space="preserve">S237</t>
  </si>
  <si>
    <t xml:space="preserve">I opened the planner and saw the list of things i had not done for the whole week. Three assignments, the gym, the call i keep postponing. I felt the usual knot in my chest and closed the planner again. so stressed and not even doing anything about it. The assignments were due on three different subjects and the gym slot was still empty from the week before. I stared at the page for a minute and then looked at the ceiling. After that i moved the sticky notes from the left side of the page to the right and left the rest as it was.</t>
  </si>
  <si>
    <t xml:space="preserve">S238</t>
  </si>
  <si>
    <t xml:space="preserve">I was having chai at the stall outside the library when Karan walked up and handed me the notebook i lost two months ago. He had found it in the lost-and-found of another department and recognised my handwriting. It still had my exam notes, a doodle of a cat and the 50 rupee note i used as a bookmark. I stood there holding it and could not say a word for a minute. I did not think i would ever see it again, i was honestly shocked.</t>
  </si>
  <si>
    <t xml:space="preserve">S239</t>
  </si>
  <si>
    <t xml:space="preserve">caught the sunset from the metro bridge on my way back. nothing else mattered for two minutes. feeling very peaceful.</t>
  </si>
  <si>
    <t xml:space="preserve">S240</t>
  </si>
  <si>
    <t xml:space="preserve">the diet chart i got from the gym was totally wrong for me and i followed it for a week. so irritated that i trusted it blindly.</t>
  </si>
  <si>
    <t xml:space="preserve">S241</t>
  </si>
  <si>
    <t xml:space="preserve">so thankful today because Tanya stayed back after class to explain the whole chapter again. She drew the diagrams on the board again and answered every doubt without hurrying.</t>
  </si>
  <si>
    <t xml:space="preserve">S242</t>
  </si>
  <si>
    <t xml:space="preserve">feeling pretty low since my project got rejected at the review and i do not know how to fix it. I read the comments twice and then closed the laptop. I have two more reviews coming up after this one.</t>
  </si>
  <si>
    <t xml:space="preserve">S243</t>
  </si>
  <si>
    <t xml:space="preserve">I am nervous about the blood test tomorrow since last time they could not find my vein and poked me four times. They took three tries last time and my arm was bruised for a week. I have been drinking extra water since morning.</t>
  </si>
  <si>
    <t xml:space="preserve">S244</t>
  </si>
  <si>
    <t xml:space="preserve">kinda proud of myself because i spoke up in the meeting even though my voice was shaking. It was a small thing but i had been planning to say it for a long time. Nobody interrupted me and the discussion moved on.</t>
  </si>
  <si>
    <t xml:space="preserve">S245</t>
  </si>
  <si>
    <t xml:space="preserve">so irritated at Rahul because he keeps parking his bike in front of my gate. It is a red bike with a loose mirror and it blocks the whole entrance. I have asked him once politely and he said he will see.</t>
  </si>
  <si>
    <t xml:space="preserve">S246</t>
  </si>
  <si>
    <t xml:space="preserve">I feel awful because i laughed at Isha's presentation without realising she could see me. She kept looking at the screen and i kept laughing at the wrong slide. I did not realise the camera was on until the end.</t>
  </si>
  <si>
    <t xml:space="preserve">S247</t>
  </si>
  <si>
    <t xml:space="preserve">so shocked right now because the results are out a week early and i passed everything. I checked the portal three times to make sure it was not a mistake. All the subjects showed pass and the total looked correct.</t>
  </si>
  <si>
    <t xml:space="preserve">S248</t>
  </si>
  <si>
    <t xml:space="preserve">feeling pretty content tonight because the rent is paid, the fridge is full and nothing is due.</t>
  </si>
  <si>
    <t xml:space="preserve">S249</t>
  </si>
  <si>
    <t xml:space="preserve">I am stressed about the loan form because it needs three signatures and i have only got one. The loan is for the laptop and the bank wants proper signatures on every page. I have already taken two prints and filled all the fields.</t>
  </si>
  <si>
    <t xml:space="preserve">S250</t>
  </si>
  <si>
    <t xml:space="preserve">really happy for Zoya because she finally got her first paycheque and treated everyone.</t>
  </si>
  <si>
    <t xml:space="preserve">S251</t>
  </si>
  <si>
    <t xml:space="preserve">so lonely in this new city since everyone from my batch got posted to other places. I spent the evening sitting by the window with a cup of tea. The messages kept coming but i left them unread.</t>
  </si>
  <si>
    <t xml:space="preserve">S252</t>
  </si>
  <si>
    <t xml:space="preserve">feeling embarrassed because i mixed up two people's names at the meetup and one of them noticed.</t>
  </si>
  <si>
    <t xml:space="preserve">S253</t>
  </si>
  <si>
    <t xml:space="preserve">grateful for this quiet weekend because i really needed time away from the screens.</t>
  </si>
  <si>
    <t xml:space="preserve">S254</t>
  </si>
  <si>
    <t xml:space="preserve">pretty anxious about the audit tomorrow since half the files are still not uploaded. The cleaning took four hours and we divided the floors between us. Every room smelled of phenyl in the end.</t>
  </si>
  <si>
    <t xml:space="preserve">S255</t>
  </si>
  <si>
    <t xml:space="preserve">so proud of the hostel team because we cleaned the entire block in one afternoon and it actually looks nice.</t>
  </si>
  <si>
    <t xml:space="preserve">S256</t>
  </si>
  <si>
    <t xml:space="preserve">feeling calm today because the sea breeze at Marine Drive cleared my head after a really long week.</t>
  </si>
  <si>
    <t xml:space="preserve">S257</t>
  </si>
  <si>
    <t xml:space="preserve">stressed since the wifi has been down for two days and i have an online exam tonight.</t>
  </si>
  <si>
    <t xml:space="preserve">S258</t>
  </si>
  <si>
    <t xml:space="preserve">Aditi and the others decided to meet at the cafe near my old college. They did not tell me about it, i saw the group photo on instagram later. It was posted three hours ago and the caption had everyone tagged except me. I put my phone down and stared at the wall for a long time. feeling really left out and a bit stupid for even checking. I scrolled through the comments and the tags once more and then opened the group chat to see if anyone had mentioned it. Nobody had. I made a cup of coffee and stood near the window looking at the street for a while. The next hour passed without me doing anything useful.</t>
  </si>
  <si>
    <t xml:space="preserve">S259</t>
  </si>
  <si>
    <t xml:space="preserve">I woke up with chest pain at 3 am and sat on the floor till it passed. It lasted maybe ten minutes. Googling made it so much worse and i read about everything from acid reflux to heart attacks. Even now my hands are slightly cold. scared to tell anyone because it might be nothing. I drank a glass of water, sat with my back against the bed and counted breaths until my heart slowed down. After that i lay on the floor with the lights off and listened to the ceiling fan. By sunrise the pain had not come back but i could not fall asleep again.</t>
  </si>
  <si>
    <t xml:space="preserve">S260</t>
  </si>
  <si>
    <t xml:space="preserve">Our paper was accepted at the student conference in Delhi after two rounds of revision. Rohit and I had rewritten the methods section four times. The reviewer comments were tough and i had cried over the second one. Today the final mail came with a single line, accepted. I read it, closed the laptop, opened it again and read it again. I walked around the hostel corridor for ten minutes just smiling at nothing. honestly so proud of both of us, it feels like all those late nights counted for something.</t>
  </si>
  <si>
    <t xml:space="preserve">S261</t>
  </si>
  <si>
    <t xml:space="preserve">the month is only half over and i have 800 rupees left. I did the maths three times hoping the number would change. The mess bill alone is 1500 and i still have to buy a charger. I opened the notes app and started a list of what to cut, but everything on it is something i need. my stomach hurts thinking about it, so stressed.</t>
  </si>
  <si>
    <t xml:space="preserve">S262</t>
  </si>
  <si>
    <t xml:space="preserve">Farhan noticed that i had skipped lunch and showed up at my hostel with two parathas in foil. He did not say anything dramatic, just left them on the table and went to attend his call. I ate them cold at 4 pm and they were the best thing i had eaten all week. i am so grateful to have him. The foil was still warm when i opened the door and the paratha smelled of ghee and ajwain. He had also packed a small container of pickle and a spoon. I had a call in ten minutes so i left the lunch on the table for later and kept looking at it.</t>
  </si>
  <si>
    <t xml:space="preserve">S263</t>
  </si>
  <si>
    <t xml:space="preserve">the cab app showed 4 mins away for twenty minutes straight. Then it cancelled and showed a higher fare. I had to walk 2 km in my formal shoes and reached the venue sweating. i was seething the whole way, i hate how helpless it feels. My phone battery was at 9 percent and the maps app kept refreshing. I crossed two bridges and a busy market, and the sun was straight above. When i reached the gate i asked for a glass of water and sat on the steps.</t>
  </si>
  <si>
    <t xml:space="preserve">S264</t>
  </si>
  <si>
    <t xml:space="preserve">Spent the evening just sitting on the roof watching the kites go by. no phone, no music. The sky turned orange and then pink and then dark very slowly. i felt weirdly full and quiet, like i did not need anything. The flat roof was hot from the day and the stones were still warm under my feet. Someone was flying a kite and the string kept swinging in front of me. I watched the colours change and did not take a single photo.</t>
  </si>
  <si>
    <t xml:space="preserve">S265</t>
  </si>
  <si>
    <t xml:space="preserve">i borrowed Sam's charger last week and lost it in the lab. I have been avoiding him since because i do not have the money to replace it right now. Today he asked if i had it and i lied and said i left it in my room. i feel like such a bad friend. He has been asking about it in the group chat and i keep reading the message without replying. I looked in my bag, my lab drawer and the pocket of my old jacket but it was nowhere. I even went back to the lab and checked under the table.</t>
  </si>
  <si>
    <t xml:space="preserve">S266</t>
  </si>
  <si>
    <t xml:space="preserve">went for a routine eye check expecting new glasses. the report said my number has actually decreased since last time. I asked them to recheck and they did. It is rare apparently. what a surprise, i did not think it could go down. The machine blew a puff of air into my eye three times and the screen showed numbers i did not understand. The report was printed and explained in a simple way. I walked out and held the paper up against the sunlight for no reason.</t>
  </si>
  <si>
    <t xml:space="preserve">S267</t>
  </si>
  <si>
    <t xml:space="preserve">The placement cell announced the aptitude test for Wipro on thursday. I have not touched quantitative aptitude since first year and the syllabus is huge. I opened a practice paper and got three out of twenty right. my palms are sweaty and i keep checking the clock, really scared i will fail.</t>
  </si>
  <si>
    <t xml:space="preserve">S268</t>
  </si>
  <si>
    <t xml:space="preserve">Tara and i have been doing the long distance thing for eight months. This weekend she was supposed to visit but her train got cancelled due to the floods near Kerala. We tried video calling but the signal kept dropping. Every time it froze on her face i felt the distance more. At the end she said it is okay and we hung up with one of those awkward silent goodbyes. I sat on my bed and looked at the empty space where she would have been. it just feels really heavy tonight.</t>
  </si>
  <si>
    <t xml:space="preserve">S269</t>
  </si>
  <si>
    <t xml:space="preserve">we won the tambola at the society event and the prize was a pressure cooker. Everyone laughed because i had said i would never win anything. I carried it home like a trophy. i am unreasonably happy about a pressure cooker. The numbers were called out slowly and half the hall was shouting. I had three tickets and kept losing track of the lines. When the last number came, someone near me nudged me and pointed at my ticket.</t>
  </si>
  <si>
    <t xml:space="preserve">S270</t>
  </si>
  <si>
    <t xml:space="preserve">I told the group i had finished my part of the report when i had only done half. We submitted it at midnight and they trusted me. I kept looking at the bad paragraphs i had pasted in and hoping no one would read them. I feel like a fraud. The part i had pasted was from an old report and the numbers did not match the rest of the document. I changed two of the figures and left the rest. Then i saved the file and sent it to the group before i could change my mind.</t>
  </si>
  <si>
    <t xml:space="preserve">S271</t>
  </si>
  <si>
    <t xml:space="preserve">my cashback finally came through. 1200 rupees from the app that i had given up on. I did a little spin in the hallway. so happy, i immediately ordered a book i had wanted for months.</t>
  </si>
  <si>
    <t xml:space="preserve">S272</t>
  </si>
  <si>
    <t xml:space="preserve">Slept at 10 and woke up at 6 and went for a slow walk in the park with a flask of tea. The grass was wet and a couple of old men were doing laughing yoga. nothing felt rushed. i feel like my head has finally settled. I took a flask of tea, a book and an old shawl. I met a group of kids playing cricket near the gate and stopped to watch for a few minutes. When i reached home the kettle was still warm in my bag.</t>
  </si>
  <si>
    <t xml:space="preserve">S273</t>
  </si>
  <si>
    <t xml:space="preserve">the group trip planning has turned into a mess. Five people want five different dates and nobody is paying the advance. I am the one chasing everyone on the chat and keeping the spreadsheet. I did not sign up to be the manager of this. so stressed, i feel like cancelling the whole thing.</t>
  </si>
  <si>
    <t xml:space="preserve">S274</t>
  </si>
  <si>
    <t xml:space="preserve">opened the door to find a huge cardboard box on the doorstep. I had not ordered anything. Inside was a plant, a small note and no name. i still do not know who sent it. completely stunned, i have asked the whole floor. It was wrapped in brown paper and tied with a jute string. The plant had thick green leaves and a tiny tag that said keep near the window. I placed it on the sill and watered it with half a glass.</t>
  </si>
  <si>
    <t xml:space="preserve">S275</t>
  </si>
  <si>
    <t xml:space="preserve">It was my last day at the old flat. i walked through every room one more time and took a photo of the window where i used to sit. I left the keys on the table and closed the door softly. i keep feeling a lump in my throat, i did not think i would miss it this much.</t>
  </si>
  <si>
    <t xml:space="preserve">S276</t>
  </si>
  <si>
    <t xml:space="preserve">My internship offer from Flipkart came this morning and the stipend is more than i expected. i screamed into the pillow so the neighbours would not hear. so happy, i called Isha first.</t>
  </si>
  <si>
    <t xml:space="preserve">S277</t>
  </si>
  <si>
    <t xml:space="preserve">Veer posted my private photo on the class group without asking. Everyone reacted and it was so embarrassing. He removed it after ten minutes but the damage was done. I messaged him to say that was not okay and he replied with a laughing emoji. i am so angry i cannot even look at the group. I typed three versions of the message and finally sent the shortest one. He replied with a laughing emoji and a thumbs up. I turned off the notifications for the group and left my phone on the shelf.</t>
  </si>
  <si>
    <t xml:space="preserve">S278</t>
  </si>
  <si>
    <t xml:space="preserve">idk why but today feels grey. nothing bad happened. i just feel like talking to nobody. The fan was on the highest speed and the room was still stuffy. I put on a slow playlist and stared at the wall.</t>
  </si>
  <si>
    <t xml:space="preserve">S279</t>
  </si>
  <si>
    <t xml:space="preserve">restless since the morning, cant sit in one place. not sure why. i walked the corridor three times and came back. I tried to read a book but the lines kept moving. Then i tried drawing and gave that up too.</t>
  </si>
  <si>
    <t xml:space="preserve">S280</t>
  </si>
  <si>
    <t xml:space="preserve">something good is going to happen i can feel it. no logic, just a bright feeling since i woke up.</t>
  </si>
  <si>
    <t xml:space="preserve">S281</t>
  </si>
  <si>
    <t xml:space="preserve">so cranky since morning, snapped at the first person who spoke to me and felt silly after. dont know where this mood came from.</t>
  </si>
  <si>
    <t xml:space="preserve">S282</t>
  </si>
  <si>
    <t xml:space="preserve">just sitting in the room with the window open. i feel warm and quiet and i dont know why. I wiped the counter twice and rearranged the shoes near the door. It did not make any difference.</t>
  </si>
  <si>
    <t xml:space="preserve">S283</t>
  </si>
  <si>
    <t xml:space="preserve">feeling oddly guilty today, like i neglected something. not sure what. The walk to the mess felt long and the line looked longer. I just stood and stared at the menu board.</t>
  </si>
  <si>
    <t xml:space="preserve">S284</t>
  </si>
  <si>
    <t xml:space="preserve">I woke up grateful. Nothing happened, i was just thinking about all the small things that are okay right now. weird feeling but nice.</t>
  </si>
  <si>
    <t xml:space="preserve">S285</t>
  </si>
  <si>
    <t xml:space="preserve">my hands are cold and my heart is thudding for no reason. sitting in the corridor trying to breathe slow. anxious about nothing.</t>
  </si>
  <si>
    <t xml:space="preserve">S286</t>
  </si>
  <si>
    <t xml:space="preserve">so tired of everything today. not sleepy tired, just tired. dont have a reason to give.</t>
  </si>
  <si>
    <t xml:space="preserve">S287</t>
  </si>
  <si>
    <t xml:space="preserve">I cried a little in the shower and i dont even know what it was about. The ceiling had a small crack near the corner and i traced it with my eyes again and again.</t>
  </si>
  <si>
    <t xml:space="preserve">S288</t>
  </si>
  <si>
    <t xml:space="preserve">kinda proud of how the week went. nothing big, just feel i handled things well.</t>
  </si>
  <si>
    <t xml:space="preserve">S289</t>
  </si>
  <si>
    <t xml:space="preserve">kinda surprised at how calm i am today. i expected to be a mess and i am not. idk why.</t>
  </si>
  <si>
    <t xml:space="preserve">S290</t>
  </si>
  <si>
    <t xml:space="preserve">feeling a bit down after dinner and cant explain it. the food was fine, the people were fine.</t>
  </si>
  <si>
    <t xml:space="preserve">S291</t>
  </si>
  <si>
    <t xml:space="preserve">Walked around the lake twice. The mind was just blank and happy. I had nothing to think about and it felt nice. Everyone in the hostel was playing something loud in their rooms. I put my headphones on and took them off ten times.</t>
  </si>
  <si>
    <t xml:space="preserve">S292</t>
  </si>
  <si>
    <t xml:space="preserve">irritated all through the lecture and i could not tell why. even the fan noise felt personal.</t>
  </si>
  <si>
    <t xml:space="preserve">S293</t>
  </si>
  <si>
    <t xml:space="preserve">I felt a wave of pride seeing my reflection in the shop window, which is weird. nothing special about the day. The bag was lying near the door and my shoes were still on. I did not move for a long time.</t>
  </si>
  <si>
    <t xml:space="preserve">S294</t>
  </si>
  <si>
    <t xml:space="preserve">the night feels heavy. i keep checking my phone but there is nothing i am expecting. just waiting for something.</t>
  </si>
  <si>
    <t xml:space="preserve">S295</t>
  </si>
  <si>
    <t xml:space="preserve">so jumpy today, every notification makes me flinch. no clue why. I made a sandwich and ate half of it standing near the window. The sky had a few thin clouds.</t>
  </si>
  <si>
    <t xml:space="preserve">S296</t>
  </si>
  <si>
    <t xml:space="preserve">feeling guilty about nothing in particular, again. this keeps happening on weekends.</t>
  </si>
  <si>
    <t xml:space="preserve">S297</t>
  </si>
  <si>
    <t xml:space="preserve">lying on the floor with the fan on and i feel completely fine. no reason, just fine. The rooftop was empty and the lights from the next building were blinking. I leaned on the railing.</t>
  </si>
  <si>
    <t xml:space="preserve">S298</t>
  </si>
  <si>
    <t xml:space="preserve">heart feels full tonight. thinking of nobody in particular, just thankful.</t>
  </si>
  <si>
    <t xml:space="preserve">S299</t>
  </si>
  <si>
    <t xml:space="preserve">overwhelmed all week and it is only wednesday. i do not even know what exactly is piling up. I stuck the list on the wall, took it down, and stuck it back again. The pen had stopped working halfway.</t>
  </si>
  <si>
    <t xml:space="preserve">S300</t>
  </si>
  <si>
    <t xml:space="preserve">Our flight to Jaipur got upgraded to business class for no reason and I was so surprised I kept looking at the boarding pass. Then at the gate I realised my laptop charger was in the checked bag and the presentation was in two hours, and I got really stressed. The gate area was crowded and my seat was in the third row. A man next to me kept asking about the baggage rules. I opened the laptop bag and found only the cables and a notebook, and i went through every pocket twice.</t>
  </si>
  <si>
    <t xml:space="preserve">surprise, stress</t>
  </si>
  <si>
    <t xml:space="preserve">S301</t>
  </si>
  <si>
    <t xml:space="preserve">Aarti covered for me at the front desk when i was late and nobody noticed. I was so grateful i bought her coffee. But then i realised i had told her a lie about why i was late and i could not shake the guilty feeling for the rest of the day. I wrote down the real reason on a sticky note and then tore it into small pieces. The coffee she liked was from the machine near the stairs and i had to try twice for the right change. She said thanks and went back to her screen.</t>
  </si>
  <si>
    <t xml:space="preserve">gratitude, guilt</t>
  </si>
  <si>
    <t xml:space="preserve">S302</t>
  </si>
  <si>
    <t xml:space="preserve">I finished my first full month of budgeting and stayed under the limit by 400 rupees. I felt really proud, i even showed the sheet to Tanmay. But then the electricity bill landed on my phone and wiped out the saving, and i felt that familiar tightness again. I had set aside 1500 for food and 600 for travel and tracked every rupee in a small notebook. On the last evening i added up everything and checked the total two times. Then i closed the notebook and put it next to the keyboard.</t>
  </si>
  <si>
    <t xml:space="preserve">S303</t>
  </si>
  <si>
    <t xml:space="preserve">We had a lazy sunday brunch with the old group at the new place near FC Road and i felt so full and relaxed. On the way back someone mentioned that Pooja is moving to Berlin next month and the mood in the auto changed, i went quiet. The place had mismatched chairs and a menu written on a blackboard. We ordered too many things and shared everything, and extra toast came without being asked. After that we walked along the road for a bit before getting an auto.</t>
  </si>
  <si>
    <t xml:space="preserve">S304</t>
  </si>
  <si>
    <t xml:space="preserve">A stranger paid for my chai at a stall in Hampi and refused to take the money back. I was honestly stunned, nobody does that. In the evening my waitlisted train ticket got confirmed and i walked around the market so happy.</t>
  </si>
  <si>
    <t xml:space="preserve">surprise, joy</t>
  </si>
  <si>
    <t xml:space="preserve">S305</t>
  </si>
  <si>
    <t xml:space="preserve">I yelled at Kunal for using my charger without asking and he looked really hurt. i felt terrible the whole evening. Later he came with two cups of tea and we sat quietly on the stairs, and everything felt okay again.</t>
  </si>
  <si>
    <t xml:space="preserve">guilt, contentment</t>
  </si>
  <si>
    <t xml:space="preserve">S306</t>
  </si>
  <si>
    <t xml:space="preserve">The clinic made me wait for three hours and then said the report is not ready. I was so angry i almost shouted at the reception. Then an old woman in the queue shared her biscuits with me and asked about my day, i felt very thankful for the small kindness.</t>
  </si>
  <si>
    <t xml:space="preserve">S307</t>
  </si>
  <si>
    <t xml:space="preserve">I was terrified before the viva because i had not slept the whole night. Once i started answering the first question, i noticed i actually knew this stuff. By the end i was explaining the circuit diagram with confidence and i felt really proud of myself.</t>
  </si>
  <si>
    <t xml:space="preserve">S308</t>
  </si>
  <si>
    <t xml:space="preserve">The family group chat was full of old photos of the village house today and i read every message twice. It is being sold next month and i felt a lump in my throat. Then Vikram sent me a voice note with the sound of the old temple bells he recorded last time, and i was so thankful he thought of me. Someone had posted the picture of the courtyard with the old well, and another of the mango tree with a swing. I scrolled up and down several times to find the first one again. The chat had more than a hundred new messages by evening.</t>
  </si>
  <si>
    <t xml:space="preserve">sadness, gratitude</t>
  </si>
  <si>
    <t xml:space="preserve">S309</t>
  </si>
  <si>
    <t xml:space="preserve">We went for our first trip together to Udaipur and i was so happy walking beside the lake with her. Midway i realised i had told my friends i was too busy to attend Sagar's engagement, and i felt bad for lying. The boat ride was short but the sky had turned pink and gold over the water. We walked past a small market selling mirror-work bags and she bought one as a gift. I took a photo of her laughing next to a lamp and set it as my wallpaper.</t>
  </si>
  <si>
    <t xml:space="preserve">S310</t>
  </si>
  <si>
    <t xml:space="preserve">I have been sleeping 4 hours a night because of the deadline and i feel so stressed all day. Yesterday i finally slept 9 hours at Chaitanya's place and woke up feeling sorted and calm.</t>
  </si>
  <si>
    <t xml:space="preserve">stress, contentment</t>
  </si>
  <si>
    <t xml:space="preserve">S311</t>
  </si>
  <si>
    <t xml:space="preserve">The bank deducted 590 as 'annual charges' without any message and i was fuming. I called the helpline and after ten minutes of music, the voice said they will reverse it today itself. I was very surprised, it actually came back in an hour. I read the message from the bank again and checked the account statement for any other deduction. The amount had been taken early in the month and the line just said charges. I wrote down the date and the reference number on a piece of paper before calling.</t>
  </si>
  <si>
    <t xml:space="preserve">S312</t>
  </si>
  <si>
    <t xml:space="preserve">I signed up for the 10 minute lightning talk at the club and rehearsed it in the bathroom four times. When my name was announced my knees got weak but once I started speaking it was alright and I got a loud round of applause at the end. I felt so proud walking back to my seat. I had practised in front of the mirror and in the bathroom and even on the terrace with the wind blowing. The slides were only five and each had a single picture. After the talk i kept my notes in my pocket and walked out of the hall without checking my phone.</t>
  </si>
  <si>
    <t xml:space="preserve">S313</t>
  </si>
  <si>
    <t xml:space="preserve">Mira wrote me a three page letter on my last day at the PG saying how my random cooking nights made her stay sane. I read it on the train and was so touched i could not stop smiling. Then the train crossed the city limits and i realised how far i had come from all of them, the sadness hit slowly. The letter was written in blue ink on ruled pages, with a small drawing of a pressure cooker at the end. The train was full and i held it in both hands so it would not crease.</t>
  </si>
  <si>
    <t xml:space="preserve">S314</t>
  </si>
  <si>
    <t xml:space="preserve">I snapped at a junior during the lab and i immediately regretted it, felt like the worst senior ever. Later i apologised in front of everyone and he smiled, and i felt proud that i could say sorry without making excuses. It was a small mistake with the connections and the readings were off by a bit. I fixed the circuit myself and then we did the experiment once again from the start.</t>
  </si>
  <si>
    <t xml:space="preserve">S315</t>
  </si>
  <si>
    <t xml:space="preserve">We got a call from the college that the farewell has been advanced to friday and nobody was ready. I was shocked, we still have the group photo to take. Also Shreya said she cannot attend because of her exam in Lucknow and i felt sad that the group will be incomplete. The coordinators sent a long list of tasks on the group and everyone picked one. I took the decorations and the banner, which meant buying chart paper and glue that evening.</t>
  </si>
  <si>
    <t xml:space="preserve">surprise, sadness</t>
  </si>
  <si>
    <t xml:space="preserve">S316</t>
  </si>
  <si>
    <t xml:space="preserve">The bus was empty and i got the window seat with golden evening light and i felt so peaceful. Then two men got on and started playing loud videos without earphones and i was boiling with anger within a minute.</t>
  </si>
  <si>
    <t xml:space="preserve">contentment, anger</t>
  </si>
  <si>
    <t xml:space="preserve">S317</t>
  </si>
  <si>
    <t xml:space="preserve">Our team got the best project award in the final review and we all hugged in the lab, i have never been so happy in this department. After the ceremony Prof. Desai said the report must be submitted in two days with corrections and my brain just froze, so stressed. The trophy was heavier than i expected and there was a printed certificate with all four names. We took photos near the stage and then in the lab with the prototype in the middle.</t>
  </si>
  <si>
    <t xml:space="preserve">S318</t>
  </si>
  <si>
    <t xml:space="preserve">I have to get the dental surgery done on monday and i keep imagining the worst. My stomach clenches every time i look at the calendar. Ruchi booked me a cab and said she will wait outside the whole time, and i felt so lucky to have her in my life.</t>
  </si>
  <si>
    <t xml:space="preserve">S319</t>
  </si>
  <si>
    <t xml:space="preserve">We had the breakup talk in the park and it was calm, which made it somehow worse. I walked home with my headphones on and felt completely empty. By night i made khichdi, opened the window and felt oddly at peace for the first time in a month. The park had a few joggers and a couple of old men on a bench. We talked without raising our voices, and when it ended we both said take care and walked in opposite directions.</t>
  </si>
  <si>
    <t xml:space="preserve">sadness, contentment</t>
  </si>
  <si>
    <t xml:space="preserve">S320</t>
  </si>
  <si>
    <t xml:space="preserve">Manav kept interrupting me in the meeting to correct small things and i was so annoyed. Afterwards i said something snarky about him in the group and then saw he was reading it. i felt like a coward. I had prepared the numbers for two days and he questioned every second slide. The meeting ran for an hour and a half and half of it was spent on formatting.</t>
  </si>
  <si>
    <t xml:space="preserve">S321</t>
  </si>
  <si>
    <t xml:space="preserve">Turns out my short story got shortlisted in the college magazine contest, i could not believe it. Out of 70 entries mine was one of five and i walked taller all evening, feeling quietly proud.</t>
  </si>
  <si>
    <t xml:space="preserve">surprise, pride</t>
  </si>
  <si>
    <t xml:space="preserve">S322</t>
  </si>
  <si>
    <t xml:space="preserve">Rent is due tomorrow and my freelance client has not paid yet, my stomach is in knots. Then at 9 pm the payment notification popped up and i actually laughed out loud, so relieved and happy. I read the agreement again and the sheet said ten percent was the maximum hike. I copied the clause into a message and kept it as a draft. The building has four flats and we are the only ones who got a message.</t>
  </si>
  <si>
    <t xml:space="preserve">stress, joy</t>
  </si>
  <si>
    <t xml:space="preserve">S323</t>
  </si>
  <si>
    <t xml:space="preserve">The lift stopped between floors for ten minutes and i started panicking, i hate closed spaces. When it opened there was a person standing there with a cake box, apparently the building was celebrating something, and i was so surprised i forgot to be scared.</t>
  </si>
  <si>
    <t xml:space="preserve">fear, surprise</t>
  </si>
  <si>
    <t xml:space="preserve">S324</t>
  </si>
  <si>
    <t xml:space="preserve">I completed my 30 day workout streak without missing a day and felt so proud i posted it on my story. A week later my knee gave up and the scan said no running for a month. I just stared at my shoes and felt miserable.</t>
  </si>
  <si>
    <t xml:space="preserve">S325</t>
  </si>
  <si>
    <t xml:space="preserve">Pranav shared his entire notes folder with me and said use whatever you want. I was so grateful, it saved me hours. But i opened it and saw 600 pages for a paper in 2 days and the stress hit immediately.</t>
  </si>
  <si>
    <t xml:space="preserve">gratitude, stress</t>
  </si>
  <si>
    <t xml:space="preserve">S326</t>
  </si>
  <si>
    <t xml:space="preserve">The neighbours were drilling at 7 am on a sunday and i could not sleep, so irritated. I went for a long slow walk and bought a hot jalebi on the way back, and sitting on the steps eating it i felt completely fine. The noise went on for almost two hours with small breaks. I put a pillow over my head and then went for a walk along the main road.</t>
  </si>
  <si>
    <t xml:space="preserve">S327</t>
  </si>
  <si>
    <t xml:space="preserve">Divya showed up at my door with a gift for my promotion and i did not even know she remembered. I was so surprised. Then i remembered i had skipped her housewarming last month and the guilt came rushing in.</t>
  </si>
  <si>
    <t xml:space="preserve">surprise, guilt</t>
  </si>
  <si>
    <t xml:space="preserve">S328</t>
  </si>
  <si>
    <t xml:space="preserve">I booked a solo trip to Manali, my first ever, and i have been jumping around the room since. Reading the weather updates about landslides made my heart sink though and i keep refreshing them, really worried.</t>
  </si>
  <si>
    <t xml:space="preserve">S329</t>
  </si>
  <si>
    <t xml:space="preserve">The library was quiet and i finished two chapters with a hot coffee, feeling light and focused. Then i checked the timetable and realised i have three tests next week and only one set of notes, and my chest tightened.</t>
  </si>
  <si>
    <t xml:space="preserve">S330</t>
  </si>
  <si>
    <t xml:space="preserve">i got the offer from Amazon but the joining is in Hyderabad. excited about the money and sad about leaving everyone. The mail has a pdf with all the details and a long list of documents to carry.</t>
  </si>
  <si>
    <t xml:space="preserve">S331</t>
  </si>
  <si>
    <t xml:space="preserve">Khushi told me she is pregnant and i am overjoyed for her but also a bit scared about how fast everyone is moving ahead. She showed me the scan on her phone and we both stared at it for a while.</t>
  </si>
  <si>
    <t xml:space="preserve">S332</t>
  </si>
  <si>
    <t xml:space="preserve">the trek to Kedarkantha was done in five days. i felt proud and also strangely empty on the last evening. It was a steep climb on the last day and the whole camp packed up by noon.</t>
  </si>
  <si>
    <t xml:space="preserve">S333</t>
  </si>
  <si>
    <t xml:space="preserve">my screen time report says i spent 9 hours on my phone yesterday. I am shocked and honestly a bit ashamed.</t>
  </si>
  <si>
    <t xml:space="preserve">S334</t>
  </si>
  <si>
    <t xml:space="preserve">the rain stopped just as the match began. everyone cheered and i felt thrilled and relieved at once.</t>
  </si>
  <si>
    <t xml:space="preserve">joy, contentment</t>
  </si>
  <si>
    <t xml:space="preserve">S335</t>
  </si>
  <si>
    <t xml:space="preserve">Gauri forgot my birthday completely and i am hurt and angry. Twenty years of friendship and not even a text. Twenty years is a long time and i checked my phone twice anyway.</t>
  </si>
  <si>
    <t xml:space="preserve">sadness, anger</t>
  </si>
  <si>
    <t xml:space="preserve">S336</t>
  </si>
  <si>
    <t xml:space="preserve">the lab results came back clean and i am so relieved yet exhausted from all the worrying i did for nothing.</t>
  </si>
  <si>
    <t xml:space="preserve">S337</t>
  </si>
  <si>
    <t xml:space="preserve">proud of myself today.</t>
  </si>
  <si>
    <t xml:space="preserve">S338</t>
  </si>
  <si>
    <t xml:space="preserve">so guilty.</t>
  </si>
  <si>
    <t xml:space="preserve">S339</t>
  </si>
  <si>
    <t xml:space="preserve">honestly overwhelmed right now.</t>
  </si>
  <si>
    <t xml:space="preserve">S340</t>
  </si>
  <si>
    <t xml:space="preserve">wow what a shock!!</t>
  </si>
  <si>
    <t xml:space="preserve">S341</t>
  </si>
  <si>
    <t xml:space="preserve">feeling peaceful after tea.</t>
  </si>
  <si>
    <t xml:space="preserve">S342</t>
  </si>
  <si>
    <t xml:space="preserve">feeling really thankful tonight.</t>
  </si>
  <si>
    <t xml:space="preserve">S343</t>
  </si>
  <si>
    <t xml:space="preserve">so scared.</t>
  </si>
  <si>
    <t xml:space="preserve">S344</t>
  </si>
  <si>
    <t xml:space="preserve">Woke up at 7, tea and toast. Took the 8:20 bus to Wipro office in Hinjewadi, standup at 10, then a code review till 1. Lunch at the cafeteria, two meetings and a bug fix in the afternoon. Left at 6 and reached home by 7:30. Cooked dal and rice, watched an episode and slept at 11.</t>
  </si>
  <si>
    <t xml:space="preserve">S345</t>
  </si>
  <si>
    <t xml:space="preserve">Visited the passport office in Thane for the document verification. The queue was long, the token number was 214 and they called it by 1 pm. Submitted the forms, paid the fee and collected the receipt. Had a samosa outside and took the train back.</t>
  </si>
  <si>
    <t xml:space="preserve">S346</t>
  </si>
  <si>
    <t xml:space="preserve">Today i went to the library, issued two books on operating systems and three novels. Sat at the third floor desk till 4 and finished the first chapter. Walked back through the gate near the canteen and ordered a sandwich.</t>
  </si>
  <si>
    <t xml:space="preserve">S347</t>
  </si>
  <si>
    <t xml:space="preserve">Bought a new SIM card, recharged the old one and updated the address on my aadhaar through the app. Had lunch at the mess and a nap after that. Evening was free so i ironed clothes and cleaned the shelf.</t>
  </si>
  <si>
    <t xml:space="preserve">S348</t>
  </si>
  <si>
    <t xml:space="preserve">lab at 9, lecture at 12, lunch, project meeting at 3 with Ishaan and Pooja. Notes uploaded on the drive by 6. Dinner at 8 and some gaming till 11.</t>
  </si>
  <si>
    <t xml:space="preserve">S349</t>
  </si>
  <si>
    <t xml:space="preserve">the bike service took two hours. Changed the oil, replaced the brake pads and cleaned the chain. Paid 1800 and rode home through the highway. Washed the helmet and kept it near the door.</t>
  </si>
  <si>
    <t xml:space="preserve">S350</t>
  </si>
  <si>
    <t xml:space="preserve">Took the 6 am train from Pune to Mumbai for the workshop at IIT Bombay. Registered at the gate, attended three sessions and had lunch in the campus mess. Left by 5 and was home by 9.</t>
  </si>
  <si>
    <t xml:space="preserve">entry_id</t>
  </si>
  <si>
    <t xml:space="preserve">emotion_clause</t>
  </si>
  <si>
    <t xml:space="preserve">emotion</t>
  </si>
  <si>
    <t xml:space="preserve">cause_clause</t>
  </si>
  <si>
    <t xml:space="preserve">cause</t>
  </si>
  <si>
    <t xml:space="preserve">ner</t>
  </si>
  <si>
    <t xml:space="preserve">aspect</t>
  </si>
  <si>
    <t xml:space="preserve">annotator</t>
  </si>
  <si>
    <t xml:space="preserve">Honestly so happy right now</t>
  </si>
  <si>
    <t xml:space="preserve">I scored 42 out of 50</t>
  </si>
  <si>
    <t xml:space="preserve">good internal marks</t>
  </si>
  <si>
    <t xml:space="preserve">today|DATE</t>
  </si>
  <si>
    <t xml:space="preserve">studies_work</t>
  </si>
  <si>
    <t xml:space="preserve">LLM-draft</t>
  </si>
  <si>
    <t xml:space="preserve">Feeling really proud of the team</t>
  </si>
  <si>
    <t xml:space="preserve">the client loved our demo</t>
  </si>
  <si>
    <t xml:space="preserve">client liked demo</t>
  </si>
  <si>
    <t xml:space="preserve">My manager|ROLE</t>
  </si>
  <si>
    <t xml:space="preserve">So annoyed</t>
  </si>
  <si>
    <t xml:space="preserve">Missed the 8:15 local by like ten seconds</t>
  </si>
  <si>
    <t xml:space="preserve">missed train</t>
  </si>
  <si>
    <t xml:space="preserve">none</t>
  </si>
  <si>
    <t xml:space="preserve">other</t>
  </si>
  <si>
    <t xml:space="preserve">so grateful for her</t>
  </si>
  <si>
    <t xml:space="preserve">Maa made my favourite rajma chawal after a really long week</t>
  </si>
  <si>
    <t xml:space="preserve">mother's cooking</t>
  </si>
  <si>
    <t xml:space="preserve">Maa|ROLE</t>
  </si>
  <si>
    <t xml:space="preserve">family</t>
  </si>
  <si>
    <t xml:space="preserve">I was furious</t>
  </si>
  <si>
    <t xml:space="preserve">Aman forgot his entire part</t>
  </si>
  <si>
    <t xml:space="preserve">teammate forgot part</t>
  </si>
  <si>
    <t xml:space="preserve">Aman|PERSON</t>
  </si>
  <si>
    <t xml:space="preserve">So stressed right now</t>
  </si>
  <si>
    <t xml:space="preserve">The assignment deadline is at 11 tonight and I have not even started the second question</t>
  </si>
  <si>
    <t xml:space="preserve">deadline</t>
  </si>
  <si>
    <t xml:space="preserve">tonight|DATE</t>
  </si>
  <si>
    <t xml:space="preserve">I was so surprised to hear from her</t>
  </si>
  <si>
    <t xml:space="preserve">Neha texted me out of nowhere after like a year</t>
  </si>
  <si>
    <t xml:space="preserve">old friend texted</t>
  </si>
  <si>
    <t xml:space="preserve">Neha|PERSON</t>
  </si>
  <si>
    <t xml:space="preserve">friends</t>
  </si>
  <si>
    <t xml:space="preserve">I feel like such a loser</t>
  </si>
  <si>
    <t xml:space="preserve">Failed the driving test for the second time because I stalled on the slope</t>
  </si>
  <si>
    <t xml:space="preserve">failed driving test</t>
  </si>
  <si>
    <t xml:space="preserve">self</t>
  </si>
  <si>
    <t xml:space="preserve">I am so stressed now</t>
  </si>
  <si>
    <t xml:space="preserve">Rohan borrowed my notes before the exam and gave them back with coffee stains all over</t>
  </si>
  <si>
    <t xml:space="preserve">notes damaged</t>
  </si>
  <si>
    <t xml:space="preserve">Rohan|PERSON; tomorrow|DATE</t>
  </si>
  <si>
    <t xml:space="preserve">Kind of dreading it</t>
  </si>
  <si>
    <t xml:space="preserve">Dad called to say we are leaving for my cousin's wedding on Friday, for the whole week</t>
  </si>
  <si>
    <t xml:space="preserve">wedding trip</t>
  </si>
  <si>
    <t xml:space="preserve">Dad|ROLE; my cousin|ROLE; Friday|DATE; Monday|DATE</t>
  </si>
  <si>
    <t xml:space="preserve">Proud of all of us</t>
  </si>
  <si>
    <t xml:space="preserve">Our team won the inter-college quiz at COEP and I answered the last question</t>
  </si>
  <si>
    <t xml:space="preserve">won quiz</t>
  </si>
  <si>
    <t xml:space="preserve">COEP|ORG</t>
  </si>
  <si>
    <t xml:space="preserve">Ugh so frustrated</t>
  </si>
  <si>
    <t xml:space="preserve">My phone fell off the bed and the screen cracked right across</t>
  </si>
  <si>
    <t xml:space="preserve">cracked phone</t>
  </si>
  <si>
    <t xml:space="preserve">April|DATE</t>
  </si>
  <si>
    <t xml:space="preserve">Felt really proud of myself</t>
  </si>
  <si>
    <t xml:space="preserve">Finished the whole 5k run without stopping for the first time ever</t>
  </si>
  <si>
    <t xml:space="preserve">finished 5k</t>
  </si>
  <si>
    <t xml:space="preserve">health</t>
  </si>
  <si>
    <t xml:space="preserve">I am so stressed</t>
  </si>
  <si>
    <t xml:space="preserve">Our landlord increased the rent by 2000 without any notice</t>
  </si>
  <si>
    <t xml:space="preserve">rent hike</t>
  </si>
  <si>
    <t xml:space="preserve">Our landlord|ROLE</t>
  </si>
  <si>
    <t xml:space="preserve">money</t>
  </si>
  <si>
    <t xml:space="preserve">I am so excited I cannot sit still</t>
  </si>
  <si>
    <t xml:space="preserve">My girlfriend and I finally got tickets for the concert in Mumbai after refreshing the page for an hour</t>
  </si>
  <si>
    <t xml:space="preserve">concert tickets</t>
  </si>
  <si>
    <t xml:space="preserve">My girlfriend|ROLE; Mumbai|LOCATION</t>
  </si>
  <si>
    <t xml:space="preserve">relationships</t>
  </si>
  <si>
    <t xml:space="preserve">Feeling calm and content</t>
  </si>
  <si>
    <t xml:space="preserve">Finished all my pending work by 6pm for once and made tea on the balcony</t>
  </si>
  <si>
    <t xml:space="preserve">finished work early</t>
  </si>
  <si>
    <t xml:space="preserve">Sunday|DATE</t>
  </si>
  <si>
    <t xml:space="preserve">I feel peaceful</t>
  </si>
  <si>
    <t xml:space="preserve">Cooked pasta for myself and watched an old show on the laptop</t>
  </si>
  <si>
    <t xml:space="preserve">quiet evening</t>
  </si>
  <si>
    <t xml:space="preserve">Really thankful</t>
  </si>
  <si>
    <t xml:space="preserve">Prof. Mehta stayed back for an extra hour to explain the proofs to us</t>
  </si>
  <si>
    <t xml:space="preserve">teacher stayed back</t>
  </si>
  <si>
    <t xml:space="preserve">Prof. Mehta|PERSON</t>
  </si>
  <si>
    <t xml:space="preserve">I am really grateful to have a friend like her</t>
  </si>
  <si>
    <t xml:space="preserve">Riya covered my share of the bill when my card got declined at the cafe</t>
  </si>
  <si>
    <t xml:space="preserve">friend paid bill</t>
  </si>
  <si>
    <t xml:space="preserve">Riya|PERSON</t>
  </si>
  <si>
    <t xml:space="preserve">I am really sad</t>
  </si>
  <si>
    <t xml:space="preserve">My girlfriend moved to Bangalore today for her job, the city feels so empty already</t>
  </si>
  <si>
    <t xml:space="preserve">partner moved away</t>
  </si>
  <si>
    <t xml:space="preserve">My girlfriend|ROLE; Bangalore|LOCATION; today|DATE</t>
  </si>
  <si>
    <t xml:space="preserve">I have been feeling so low since yesterday</t>
  </si>
  <si>
    <t xml:space="preserve">Our dog got sick again and the vet said it might be serious</t>
  </si>
  <si>
    <t xml:space="preserve">dog sick</t>
  </si>
  <si>
    <t xml:space="preserve">the vet|ROLE; yesterday|DATE</t>
  </si>
  <si>
    <t xml:space="preserve">I feel so guilty</t>
  </si>
  <si>
    <t xml:space="preserve">I forgot Mom's birthday wish till 9pm and she did not say anything</t>
  </si>
  <si>
    <t xml:space="preserve">forgot mom's birthday</t>
  </si>
  <si>
    <t xml:space="preserve">Mom|ROLE</t>
  </si>
  <si>
    <t xml:space="preserve">Totally shocked</t>
  </si>
  <si>
    <t xml:space="preserve">Opened the door and my cousin from Nagpur was standing there with a bag</t>
  </si>
  <si>
    <t xml:space="preserve">cousin showed up</t>
  </si>
  <si>
    <t xml:space="preserve">my cousin|ROLE; Nagpur|LOCATION</t>
  </si>
  <si>
    <t xml:space="preserve">Honestly scared</t>
  </si>
  <si>
    <t xml:space="preserve">The doctor asked me to repeat the blood test next week because one value looked off</t>
  </si>
  <si>
    <t xml:space="preserve">repeat blood test</t>
  </si>
  <si>
    <t xml:space="preserve">The doctor|ROLE; next week|DATE</t>
  </si>
  <si>
    <t xml:space="preserve">Overwhelmed and cannot even think straight</t>
  </si>
  <si>
    <t xml:space="preserve">Three exams in four days and I have only finished one syllabus</t>
  </si>
  <si>
    <t xml:space="preserve">exam pile-up</t>
  </si>
  <si>
    <t xml:space="preserve">I am so happy today</t>
  </si>
  <si>
    <t xml:space="preserve">Mom finally agreed to let me go on the trip with Karan and Isha</t>
  </si>
  <si>
    <t xml:space="preserve">mom allowed trip</t>
  </si>
  <si>
    <t xml:space="preserve">today|DATE; Mom|ROLE; Karan|PERSON; Isha|PERSON; January|DATE</t>
  </si>
  <si>
    <t xml:space="preserve">Feeling really low</t>
  </si>
  <si>
    <t xml:space="preserve">the placement results came out and my name is not on the list</t>
  </si>
  <si>
    <t xml:space="preserve">not placed</t>
  </si>
  <si>
    <t xml:space="preserve">I am nervous about tomorrow</t>
  </si>
  <si>
    <t xml:space="preserve">the interview is with the CTO himself</t>
  </si>
  <si>
    <t xml:space="preserve">interview with CTO</t>
  </si>
  <si>
    <t xml:space="preserve">tomorrow|DATE; the CTO|ROLE</t>
  </si>
  <si>
    <t xml:space="preserve">Proud of myself today</t>
  </si>
  <si>
    <t xml:space="preserve">I said no to my seniors for the first time and held my ground</t>
  </si>
  <si>
    <t xml:space="preserve">said no</t>
  </si>
  <si>
    <t xml:space="preserve">Angry at Karan</t>
  </si>
  <si>
    <t xml:space="preserve">he promised to pick me up and just never showed up</t>
  </si>
  <si>
    <t xml:space="preserve">friend no-show</t>
  </si>
  <si>
    <t xml:space="preserve">Karan|PERSON</t>
  </si>
  <si>
    <t xml:space="preserve">I snapped at my sister over something really small</t>
  </si>
  <si>
    <t xml:space="preserve">snapped at sister</t>
  </si>
  <si>
    <t xml:space="preserve">my sister|ROLE</t>
  </si>
  <si>
    <t xml:space="preserve">Grateful to Dev</t>
  </si>
  <si>
    <t xml:space="preserve">he stayed up till 3am helping me fix my project code</t>
  </si>
  <si>
    <t xml:space="preserve">friend helped</t>
  </si>
  <si>
    <t xml:space="preserve">Dev|PERSON</t>
  </si>
  <si>
    <t xml:space="preserve">Feeling kind of content today</t>
  </si>
  <si>
    <t xml:space="preserve">nothing went wrong and I got to read for an hour</t>
  </si>
  <si>
    <t xml:space="preserve">peaceful day</t>
  </si>
  <si>
    <t xml:space="preserve">So stressed about money</t>
  </si>
  <si>
    <t xml:space="preserve">my stipend from Infosys is delayed by a month now</t>
  </si>
  <si>
    <t xml:space="preserve">stipend delayed</t>
  </si>
  <si>
    <t xml:space="preserve">Infosys|ORG</t>
  </si>
  <si>
    <t xml:space="preserve">I was really surprised</t>
  </si>
  <si>
    <t xml:space="preserve">the professor actually remembered my name from the very first lecture</t>
  </si>
  <si>
    <t xml:space="preserve">professor remembered me</t>
  </si>
  <si>
    <t xml:space="preserve">the professor|ROLE</t>
  </si>
  <si>
    <t xml:space="preserve">I wanted to scream into a pillow</t>
  </si>
  <si>
    <t xml:space="preserve">The metro was delayed by forty minutes and then it started pouring right outside the station</t>
  </si>
  <si>
    <t xml:space="preserve">bad commute</t>
  </si>
  <si>
    <t xml:space="preserve">The security guard|ROLE; Today|DATE</t>
  </si>
  <si>
    <t xml:space="preserve">I really miss everyone there</t>
  </si>
  <si>
    <t xml:space="preserve">I have not been home in almost six months</t>
  </si>
  <si>
    <t xml:space="preserve">away from home</t>
  </si>
  <si>
    <t xml:space="preserve">Dadi|ROLE; this weekend|DATE; Monday|DATE</t>
  </si>
  <si>
    <t xml:space="preserve">feeling numb and embarrassed</t>
  </si>
  <si>
    <t xml:space="preserve">Everyone in my group passed except me</t>
  </si>
  <si>
    <t xml:space="preserve">failed lab</t>
  </si>
  <si>
    <t xml:space="preserve">My heart was racing for ten minutes afterwards</t>
  </si>
  <si>
    <t xml:space="preserve">My roommate left the gas on again</t>
  </si>
  <si>
    <t xml:space="preserve">gas left on</t>
  </si>
  <si>
    <t xml:space="preserve">My roommate|ROLE</t>
  </si>
  <si>
    <t xml:space="preserve">I am smiling as I write this, such sweet memories</t>
  </si>
  <si>
    <t xml:space="preserve">Found my school diary in the cupboard, behind two broken chargers, and read it twice</t>
  </si>
  <si>
    <t xml:space="preserve">found old diary</t>
  </si>
  <si>
    <t xml:space="preserve">Saturday|DATE</t>
  </si>
  <si>
    <t xml:space="preserve">I am really happy for her</t>
  </si>
  <si>
    <t xml:space="preserve">Ananya got selected for the exchange program</t>
  </si>
  <si>
    <t xml:space="preserve">friend selected</t>
  </si>
  <si>
    <t xml:space="preserve">Ananya|PERSON; June|DATE</t>
  </si>
  <si>
    <t xml:space="preserve">Panicking inside the whole time</t>
  </si>
  <si>
    <t xml:space="preserve">I had not revised anything from the last two chapters</t>
  </si>
  <si>
    <t xml:space="preserve">unprepared for quiz</t>
  </si>
  <si>
    <t xml:space="preserve">The professor|ROLE</t>
  </si>
  <si>
    <t xml:space="preserve">I feel so helpless</t>
  </si>
  <si>
    <t xml:space="preserve">Papa has been working night shifts since March and he looks so tired these days</t>
  </si>
  <si>
    <t xml:space="preserve">father overworked</t>
  </si>
  <si>
    <t xml:space="preserve">Papa|ROLE; March|DATE; Yesterday|DATE</t>
  </si>
  <si>
    <t xml:space="preserve">I am a little disappointed</t>
  </si>
  <si>
    <t xml:space="preserve">nobody laughed at my jokes</t>
  </si>
  <si>
    <t xml:space="preserve">jokes fell flat</t>
  </si>
  <si>
    <t xml:space="preserve">I have been so angry since then</t>
  </si>
  <si>
    <t xml:space="preserve">He said I always make things about myself, right in the middle of the cafe</t>
  </si>
  <si>
    <t xml:space="preserve">partner's remark</t>
  </si>
  <si>
    <t xml:space="preserve">My boyfriend|ROLE</t>
  </si>
  <si>
    <t xml:space="preserve">I feel quite relaxed about going now</t>
  </si>
  <si>
    <t xml:space="preserve">The trainer was really kind and showed me the machines slowly, without making me feel dumb</t>
  </si>
  <si>
    <t xml:space="preserve">kind trainer</t>
  </si>
  <si>
    <t xml:space="preserve">today|DATE; The trainer|ROLE</t>
  </si>
  <si>
    <t xml:space="preserve">I was so thankful</t>
  </si>
  <si>
    <t xml:space="preserve">Aunty from the next flat sent food for all of us</t>
  </si>
  <si>
    <t xml:space="preserve">neighbour sent food</t>
  </si>
  <si>
    <t xml:space="preserve">Aunty|ROLE</t>
  </si>
  <si>
    <t xml:space="preserve">I walked out of the exam hall so surprised</t>
  </si>
  <si>
    <t xml:space="preserve">The paper turned out to be much easier than I expected</t>
  </si>
  <si>
    <t xml:space="preserve">easy paper</t>
  </si>
  <si>
    <t xml:space="preserve">I am just so anxious about the whole thing</t>
  </si>
  <si>
    <t xml:space="preserve">Lost my wallet somewhere between the bus stop and the canteen</t>
  </si>
  <si>
    <t xml:space="preserve">lost wallet</t>
  </si>
  <si>
    <t xml:space="preserve">the clerk|ROLE</t>
  </si>
  <si>
    <t xml:space="preserve">I feel lighter now</t>
  </si>
  <si>
    <t xml:space="preserve">He apologised properly and even bought me chai</t>
  </si>
  <si>
    <t xml:space="preserve">friend apologised</t>
  </si>
  <si>
    <t xml:space="preserve">Today|DATE; Aman|PERSON</t>
  </si>
  <si>
    <t xml:space="preserve">Feeling so low today</t>
  </si>
  <si>
    <t xml:space="preserve">implicit</t>
  </si>
  <si>
    <t xml:space="preserve">unknown</t>
  </si>
  <si>
    <t xml:space="preserve">last night|DATE; today|DATE</t>
  </si>
  <si>
    <t xml:space="preserve">I feel really lonely tonight</t>
  </si>
  <si>
    <t xml:space="preserve">Been irritated at everyone since I woke up</t>
  </si>
  <si>
    <t xml:space="preserve">this morning|DATE</t>
  </si>
  <si>
    <t xml:space="preserve">I just feel anxious for no reason</t>
  </si>
  <si>
    <t xml:space="preserve">Felt really happy for no particular reason</t>
  </si>
  <si>
    <t xml:space="preserve">I am just tired of everything lately</t>
  </si>
  <si>
    <t xml:space="preserve">I feel okay, nothing to complain about really</t>
  </si>
  <si>
    <t xml:space="preserve">Can't stop smiling today and I do not know why</t>
  </si>
  <si>
    <t xml:space="preserve">today|DATE; the bus conductor|ROLE</t>
  </si>
  <si>
    <t xml:space="preserve">Missing home so much tonight</t>
  </si>
  <si>
    <t xml:space="preserve">a strange sinking feeling during lunch today that I forgot something important</t>
  </si>
  <si>
    <t xml:space="preserve">Felt really proud tonight for some reason</t>
  </si>
  <si>
    <t xml:space="preserve">Randomly feeling grateful today</t>
  </si>
  <si>
    <t xml:space="preserve">Feel so guilty and I cannot even say about what</t>
  </si>
  <si>
    <t xml:space="preserve">Everything felt too loud today</t>
  </si>
  <si>
    <t xml:space="preserve">Been so angry at everything since yesterday</t>
  </si>
  <si>
    <t xml:space="preserve">yesterday|DATE</t>
  </si>
  <si>
    <t xml:space="preserve">I could not stop smiling</t>
  </si>
  <si>
    <t xml:space="preserve">Got the offer letter from TCS today</t>
  </si>
  <si>
    <t xml:space="preserve">job offer</t>
  </si>
  <si>
    <t xml:space="preserve">TCS|ORG; today|DATE; Maa|ROLE; the warden|ROLE; Pune|LOCATION</t>
  </si>
  <si>
    <t xml:space="preserve">my stomach dropped</t>
  </si>
  <si>
    <t xml:space="preserve">I have to move to Pune in a month, away from everyone I know</t>
  </si>
  <si>
    <t xml:space="preserve">moving away</t>
  </si>
  <si>
    <t xml:space="preserve">same</t>
  </si>
  <si>
    <t xml:space="preserve">I am so proud of how I played</t>
  </si>
  <si>
    <t xml:space="preserve">Won the badminton match against the seniors</t>
  </si>
  <si>
    <t xml:space="preserve">won match</t>
  </si>
  <si>
    <t xml:space="preserve">Isha|PERSON; the doctor|ROLE</t>
  </si>
  <si>
    <t xml:space="preserve">I feel awful about it</t>
  </si>
  <si>
    <t xml:space="preserve">Isha hurt her ankle in the last game</t>
  </si>
  <si>
    <t xml:space="preserve">friend injured</t>
  </si>
  <si>
    <t xml:space="preserve">so happy</t>
  </si>
  <si>
    <t xml:space="preserve">I got an A in thermodynamics</t>
  </si>
  <si>
    <t xml:space="preserve">got an A</t>
  </si>
  <si>
    <t xml:space="preserve">Prof. Mehta|PERSON; Rutu|PERSON</t>
  </si>
  <si>
    <t xml:space="preserve">I felt so bad for her</t>
  </si>
  <si>
    <t xml:space="preserve">Rutu failed again and she was crying in the washroom</t>
  </si>
  <si>
    <t xml:space="preserve">friend failed</t>
  </si>
  <si>
    <t xml:space="preserve">I felt so warm and content</t>
  </si>
  <si>
    <t xml:space="preserve">Spent the afternoon with Nani and she told me stories from her childhood</t>
  </si>
  <si>
    <t xml:space="preserve">time with grandmother</t>
  </si>
  <si>
    <t xml:space="preserve">Nani|ROLE</t>
  </si>
  <si>
    <t xml:space="preserve">instantly got stressed</t>
  </si>
  <si>
    <t xml:space="preserve">I got a call from the bank about my education loan EMI</t>
  </si>
  <si>
    <t xml:space="preserve">loan EMI call</t>
  </si>
  <si>
    <t xml:space="preserve">I am so angry</t>
  </si>
  <si>
    <t xml:space="preserve">My girlfriend lied to me about where she was last Friday and I found out through Instagram</t>
  </si>
  <si>
    <t xml:space="preserve">partner lied</t>
  </si>
  <si>
    <t xml:space="preserve">My girlfriend|ROLE; last Friday|DATE</t>
  </si>
  <si>
    <t xml:space="preserve">I feel guilty</t>
  </si>
  <si>
    <t xml:space="preserve">checking her profile in the first place</t>
  </si>
  <si>
    <t xml:space="preserve">checked her profile</t>
  </si>
  <si>
    <t xml:space="preserve">I am honestly thrilled for her</t>
  </si>
  <si>
    <t xml:space="preserve">My sister is getting engaged in March</t>
  </si>
  <si>
    <t xml:space="preserve">sister's engagement</t>
  </si>
  <si>
    <t xml:space="preserve">My sister|ROLE; March|DATE; Mom|ROLE</t>
  </si>
  <si>
    <t xml:space="preserve">it is making me anxious</t>
  </si>
  <si>
    <t xml:space="preserve">Mom keeps asking when I will settle down too</t>
  </si>
  <si>
    <t xml:space="preserve">pressure to settle</t>
  </si>
  <si>
    <t xml:space="preserve">I was really grateful</t>
  </si>
  <si>
    <t xml:space="preserve">The canteen guy gave me extra rice without even asking</t>
  </si>
  <si>
    <t xml:space="preserve">canteen kindness</t>
  </si>
  <si>
    <t xml:space="preserve">The canteen guy|ROLE</t>
  </si>
  <si>
    <t xml:space="preserve">my mood just dropped</t>
  </si>
  <si>
    <t xml:space="preserve">I saw my CGPA on the portal</t>
  </si>
  <si>
    <t xml:space="preserve">low CGPA</t>
  </si>
  <si>
    <t xml:space="preserve">I felt such a relief, I almost danced in the corridor</t>
  </si>
  <si>
    <t xml:space="preserve">Finally cleared the backlog paper</t>
  </si>
  <si>
    <t xml:space="preserve">cleared backlog</t>
  </si>
  <si>
    <t xml:space="preserve">Dad|ROLE</t>
  </si>
  <si>
    <t xml:space="preserve">I was annoyed that he could not just be happy for me</t>
  </si>
  <si>
    <t xml:space="preserve">Dad called after that and asked why it took me so long</t>
  </si>
  <si>
    <t xml:space="preserve">dad's reaction</t>
  </si>
  <si>
    <t xml:space="preserve">I wanted to disappear right there</t>
  </si>
  <si>
    <t xml:space="preserve">Kartik made fun of my accent in front of the whole class</t>
  </si>
  <si>
    <t xml:space="preserve">mocked accent</t>
  </si>
  <si>
    <t xml:space="preserve">Kartik|PERSON; the professor|ROLE; Neha|PERSON</t>
  </si>
  <si>
    <t xml:space="preserve">it made my day</t>
  </si>
  <si>
    <t xml:space="preserve">Neha came and sat next to me and said she liked how I speak</t>
  </si>
  <si>
    <t xml:space="preserve">friend's kindness</t>
  </si>
  <si>
    <t xml:space="preserve">I feel guilty about it</t>
  </si>
  <si>
    <t xml:space="preserve">Skipped the gym again this week</t>
  </si>
  <si>
    <t xml:space="preserve">skipped gym</t>
  </si>
  <si>
    <t xml:space="preserve">this week|DATE; today|DATE</t>
  </si>
  <si>
    <t xml:space="preserve">I feel really proud of that</t>
  </si>
  <si>
    <t xml:space="preserve">I made a proper healthy breakfast today</t>
  </si>
  <si>
    <t xml:space="preserve">healthy breakfast</t>
  </si>
  <si>
    <t xml:space="preserve">I panicked so badly</t>
  </si>
  <si>
    <t xml:space="preserve">The electricity went out right before my online interview</t>
  </si>
  <si>
    <t xml:space="preserve">power cut</t>
  </si>
  <si>
    <t xml:space="preserve">the interviewer|ROLE</t>
  </si>
  <si>
    <t xml:space="preserve">I felt so lucky</t>
  </si>
  <si>
    <t xml:space="preserve">the interviewer was kind about it</t>
  </si>
  <si>
    <t xml:space="preserve">kind interviewer</t>
  </si>
  <si>
    <t xml:space="preserve">I cried from relief</t>
  </si>
  <si>
    <t xml:space="preserve">the doctors said everything went well</t>
  </si>
  <si>
    <t xml:space="preserve">surgery went well</t>
  </si>
  <si>
    <t xml:space="preserve">Mummy|ROLE; today|DATE; Papa|ROLE; the nurse|ROLE; my sister|ROLE</t>
  </si>
  <si>
    <t xml:space="preserve">so tired and stressed</t>
  </si>
  <si>
    <t xml:space="preserve">running around the hospital since morning</t>
  </si>
  <si>
    <t xml:space="preserve">hospital rush</t>
  </si>
  <si>
    <t xml:space="preserve">I felt on top of the world</t>
  </si>
  <si>
    <t xml:space="preserve">I scored the winning goal in the hostel football match</t>
  </si>
  <si>
    <t xml:space="preserve">winning goal</t>
  </si>
  <si>
    <t xml:space="preserve">The warden|ROLE</t>
  </si>
  <si>
    <t xml:space="preserve">I was scared it was serious</t>
  </si>
  <si>
    <t xml:space="preserve">my knee was bleeding</t>
  </si>
  <si>
    <t xml:space="preserve">bleeding knee</t>
  </si>
  <si>
    <t xml:space="preserve">I was so surprised</t>
  </si>
  <si>
    <t xml:space="preserve">My landlord returned the full deposit without any deduction</t>
  </si>
  <si>
    <t xml:space="preserve">full deposit returned</t>
  </si>
  <si>
    <t xml:space="preserve">My landlord|ROLE</t>
  </si>
  <si>
    <t xml:space="preserve">I already hate the commute</t>
  </si>
  <si>
    <t xml:space="preserve">the new flat is 3 km farther from college</t>
  </si>
  <si>
    <t xml:space="preserve">longer commute</t>
  </si>
  <si>
    <t xml:space="preserve">I felt betrayed</t>
  </si>
  <si>
    <t xml:space="preserve">Anjali messaged to say she is leaving the project team</t>
  </si>
  <si>
    <t xml:space="preserve">teammate leaving</t>
  </si>
  <si>
    <t xml:space="preserve">Anjali|PERSON; Sir|ROLE</t>
  </si>
  <si>
    <t xml:space="preserve">I was stunned</t>
  </si>
  <si>
    <t xml:space="preserve">Sir called me in and offered me the lead role</t>
  </si>
  <si>
    <t xml:space="preserve">offered lead role</t>
  </si>
  <si>
    <t xml:space="preserve">I felt really happy</t>
  </si>
  <si>
    <t xml:space="preserve">Went to the old school ground in Nashik and it brought back so many memories</t>
  </si>
  <si>
    <t xml:space="preserve">visited school</t>
  </si>
  <si>
    <t xml:space="preserve">Nashik|LOCATION; my old teacher|ROLE; last year|DATE</t>
  </si>
  <si>
    <t xml:space="preserve">I just sat there feeling sad</t>
  </si>
  <si>
    <t xml:space="preserve">I saw my old teacher had passed away last year when I read the notice board near the gate</t>
  </si>
  <si>
    <t xml:space="preserve">teacher passed away</t>
  </si>
  <si>
    <t xml:space="preserve">I feel so relieved and happy</t>
  </si>
  <si>
    <t xml:space="preserve">My girlfriend and I finally cleared the air after two weeks of not talking</t>
  </si>
  <si>
    <t xml:space="preserve">made up</t>
  </si>
  <si>
    <t xml:space="preserve">My girlfriend|ROLE</t>
  </si>
  <si>
    <t xml:space="preserve">I am worried it will happen again</t>
  </si>
  <si>
    <t xml:space="preserve">we did not really talk about the root problem</t>
  </si>
  <si>
    <t xml:space="preserve">unresolved issue</t>
  </si>
  <si>
    <t xml:space="preserve">I felt proud and a bit shy</t>
  </si>
  <si>
    <t xml:space="preserve">My professor praised my paper in front of the class</t>
  </si>
  <si>
    <t xml:space="preserve">paper praised</t>
  </si>
  <si>
    <t xml:space="preserve">My professor|ROLE; my labmate|ROLE</t>
  </si>
  <si>
    <t xml:space="preserve">it stung more than I want to admit</t>
  </si>
  <si>
    <t xml:space="preserve">my labmate said I just got lucky</t>
  </si>
  <si>
    <t xml:space="preserve">labmate's comment</t>
  </si>
  <si>
    <t xml:space="preserve">I feel so independent</t>
  </si>
  <si>
    <t xml:space="preserve">Bought my first pair of running shoes with my own stipend</t>
  </si>
  <si>
    <t xml:space="preserve">first purchase</t>
  </si>
  <si>
    <t xml:space="preserve">the hostel fees bill arrived</t>
  </si>
  <si>
    <t xml:space="preserve">fees bill</t>
  </si>
  <si>
    <t xml:space="preserve">so proud of her</t>
  </si>
  <si>
    <t xml:space="preserve">Rutu's dance performance at the fest was unreal</t>
  </si>
  <si>
    <t xml:space="preserve">friend's performance</t>
  </si>
  <si>
    <t xml:space="preserve">Rutu|PERSON</t>
  </si>
  <si>
    <t xml:space="preserve">I was in a total panic</t>
  </si>
  <si>
    <t xml:space="preserve">I could not find my phone anywhere</t>
  </si>
  <si>
    <t xml:space="preserve">lost phone</t>
  </si>
  <si>
    <t xml:space="preserve">So excited</t>
  </si>
  <si>
    <t xml:space="preserve">Saw my name on the interview shortlist for Infosys</t>
  </si>
  <si>
    <t xml:space="preserve">shortlisted</t>
  </si>
  <si>
    <t xml:space="preserve">nervous at the same time</t>
  </si>
  <si>
    <t xml:space="preserve">I am proud of him</t>
  </si>
  <si>
    <t xml:space="preserve">My brother is leaving for the US next month for his masters</t>
  </si>
  <si>
    <t xml:space="preserve">brother going abroad</t>
  </si>
  <si>
    <t xml:space="preserve">My brother|ROLE; US|LOCATION; next month|DATE</t>
  </si>
  <si>
    <t xml:space="preserve">I am going to miss him like crazy</t>
  </si>
  <si>
    <t xml:space="preserve">Excited about the new place</t>
  </si>
  <si>
    <t xml:space="preserve">Moved into the new hostel room today, with a balcony and everything</t>
  </si>
  <si>
    <t xml:space="preserve">new room</t>
  </si>
  <si>
    <t xml:space="preserve">kind of scared of living alone</t>
  </si>
  <si>
    <t xml:space="preserve">I was happy</t>
  </si>
  <si>
    <t xml:space="preserve">Dad finally came to watch my match</t>
  </si>
  <si>
    <t xml:space="preserve">dad came to match</t>
  </si>
  <si>
    <t xml:space="preserve">a little shocked</t>
  </si>
  <si>
    <t xml:space="preserve">I felt really nervous</t>
  </si>
  <si>
    <t xml:space="preserve">Had to give a surprise speech at Jai's farewell</t>
  </si>
  <si>
    <t xml:space="preserve">surprise speech</t>
  </si>
  <si>
    <t xml:space="preserve">Jai|PERSON</t>
  </si>
  <si>
    <t xml:space="preserve">kind of proud when people clapped</t>
  </si>
  <si>
    <t xml:space="preserve">Honestly feeling so grateful right now</t>
  </si>
  <si>
    <t xml:space="preserve">So angry right now</t>
  </si>
  <si>
    <t xml:space="preserve">Feeling a little anxious again today</t>
  </si>
  <si>
    <t xml:space="preserve">Just feeling really proud of myself</t>
  </si>
  <si>
    <t xml:space="preserve">Missing Nani so much</t>
  </si>
  <si>
    <t xml:space="preserve">Pune|LOCATION</t>
  </si>
  <si>
    <t xml:space="preserve">Today|DATE; Mom|ROLE</t>
  </si>
  <si>
    <t xml:space="preserve">the plumber|ROLE; Thursday|DATE</t>
  </si>
  <si>
    <t xml:space="preserve">Raj|PERSON; Nagpur|LOCATION</t>
  </si>
  <si>
    <t xml:space="preserve">really scared i wont be able to play this season</t>
  </si>
  <si>
    <t xml:space="preserve">the physio said it might be a ligament thing</t>
  </si>
  <si>
    <t xml:space="preserve">knee injury</t>
  </si>
  <si>
    <t xml:space="preserve">today|DATE; the physio|ROLE</t>
  </si>
  <si>
    <t xml:space="preserve">so stressed</t>
  </si>
  <si>
    <t xml:space="preserve">paid 4500 for the lab kit and my account is at 600 now</t>
  </si>
  <si>
    <t xml:space="preserve">low balance</t>
  </si>
  <si>
    <t xml:space="preserve">so angry rn</t>
  </si>
  <si>
    <t xml:space="preserve">my boyfriend said he was busy but posted a story at the cafe with his friends</t>
  </si>
  <si>
    <t xml:space="preserve">my boyfriend|ROLE</t>
  </si>
  <si>
    <t xml:space="preserve">feeling so light and rested today</t>
  </si>
  <si>
    <t xml:space="preserve">slept a full 8 hours for the first time in weeks and woke up without the alarm</t>
  </si>
  <si>
    <t xml:space="preserve">good sleep</t>
  </si>
  <si>
    <t xml:space="preserve">soooo happy</t>
  </si>
  <si>
    <t xml:space="preserve">got my first freelance payment of 8000 in the account</t>
  </si>
  <si>
    <t xml:space="preserve">freelance payment</t>
  </si>
  <si>
    <t xml:space="preserve">i am so thankful for her</t>
  </si>
  <si>
    <t xml:space="preserve">my girlfriend remembered the tiny thing i said about the book and got it for me</t>
  </si>
  <si>
    <t xml:space="preserve">thoughtful gift</t>
  </si>
  <si>
    <t xml:space="preserve">my girlfriend|ROLE</t>
  </si>
  <si>
    <t xml:space="preserve">totally did not expect that</t>
  </si>
  <si>
    <t xml:space="preserve">opened my bag at lunch and there was a note from didi saying all the best for the exam</t>
  </si>
  <si>
    <t xml:space="preserve">sister's note</t>
  </si>
  <si>
    <t xml:space="preserve">didi|ROLE</t>
  </si>
  <si>
    <t xml:space="preserve">i feel really bad about it</t>
  </si>
  <si>
    <t xml:space="preserve">i skipped my sister's call again for the third time this week and she just left a voice note saying take care</t>
  </si>
  <si>
    <t xml:space="preserve">ignored sister's calls</t>
  </si>
  <si>
    <t xml:space="preserve">my sister|ROLE; this week|DATE</t>
  </si>
  <si>
    <t xml:space="preserve">honestly furious</t>
  </si>
  <si>
    <t xml:space="preserve">the hostel mess served the same watery dal again and two people got stomach infection</t>
  </si>
  <si>
    <t xml:space="preserve">mess food</t>
  </si>
  <si>
    <t xml:space="preserve">so proud of myself</t>
  </si>
  <si>
    <t xml:space="preserve">cooked a full meal for six people for my birthday party and nobody complained</t>
  </si>
  <si>
    <t xml:space="preserve">cooked for party</t>
  </si>
  <si>
    <t xml:space="preserve">i feel so empty</t>
  </si>
  <si>
    <t xml:space="preserve">we broke up after dinner</t>
  </si>
  <si>
    <t xml:space="preserve">breakup</t>
  </si>
  <si>
    <t xml:space="preserve">really anxious</t>
  </si>
  <si>
    <t xml:space="preserve">the college sent a mail that the fee has to be paid in 5 days or i lose the seat</t>
  </si>
  <si>
    <t xml:space="preserve">fee deadline</t>
  </si>
  <si>
    <t xml:space="preserve">dad|ROLE</t>
  </si>
  <si>
    <t xml:space="preserve">i felt very at peace</t>
  </si>
  <si>
    <t xml:space="preserve">sat on the terrace with my roommates and shared one maggi packet between four of us</t>
  </si>
  <si>
    <t xml:space="preserve">terrace with friends</t>
  </si>
  <si>
    <t xml:space="preserve">have a fever since last night and the viva is in two days</t>
  </si>
  <si>
    <t xml:space="preserve">fever before viva</t>
  </si>
  <si>
    <t xml:space="preserve">last night|DATE</t>
  </si>
  <si>
    <t xml:space="preserve">i am sooo happy my hands are still shaking</t>
  </si>
  <si>
    <t xml:space="preserve">i asked her to the farewell and she smiled and said yes</t>
  </si>
  <si>
    <t xml:space="preserve">she said yes</t>
  </si>
  <si>
    <t xml:space="preserve">so annoyed</t>
  </si>
  <si>
    <t xml:space="preserve">the delivery guy charged 150 extra for a 500 rupee order and the app refund got rejected</t>
  </si>
  <si>
    <t xml:space="preserve">delivery overcharge</t>
  </si>
  <si>
    <t xml:space="preserve">the delivery guy|ROLE</t>
  </si>
  <si>
    <t xml:space="preserve">really grateful</t>
  </si>
  <si>
    <t xml:space="preserve">the nurse at the clinic stayed with me till my drip finished and even called my roommate</t>
  </si>
  <si>
    <t xml:space="preserve">nurse stayed</t>
  </si>
  <si>
    <t xml:space="preserve">the nurse|ROLE; my roommate|ROLE</t>
  </si>
  <si>
    <t xml:space="preserve">feeling so helpless</t>
  </si>
  <si>
    <t xml:space="preserve">mummy cried on the phone about the roof leaking again and i cant even go home to help</t>
  </si>
  <si>
    <t xml:space="preserve">leaking roof at home</t>
  </si>
  <si>
    <t xml:space="preserve">mummy|ROLE</t>
  </si>
  <si>
    <t xml:space="preserve">did not see that coming at all</t>
  </si>
  <si>
    <t xml:space="preserve">my manager forwarded my small script to the whole team as a best practice</t>
  </si>
  <si>
    <t xml:space="preserve">script shared</t>
  </si>
  <si>
    <t xml:space="preserve">my manager|ROLE</t>
  </si>
  <si>
    <t xml:space="preserve">heart was pounding the whole first hour</t>
  </si>
  <si>
    <t xml:space="preserve">the invigilator announced that mobile phones found in pockets will be cancelled and i had mine in my jeans</t>
  </si>
  <si>
    <t xml:space="preserve">phone in pocket</t>
  </si>
  <si>
    <t xml:space="preserve">the invigilator|ROLE</t>
  </si>
  <si>
    <t xml:space="preserve">proud of that</t>
  </si>
  <si>
    <t xml:space="preserve">ran 8k today at 6am without walking once and my watch said new record</t>
  </si>
  <si>
    <t xml:space="preserve">new running record</t>
  </si>
  <si>
    <t xml:space="preserve">i still feel so guilty about it</t>
  </si>
  <si>
    <t xml:space="preserve">i read my gf's messages while she was in the shower and found nothing</t>
  </si>
  <si>
    <t xml:space="preserve">read her messages</t>
  </si>
  <si>
    <t xml:space="preserve">my gf|ROLE</t>
  </si>
  <si>
    <t xml:space="preserve">so relieved today</t>
  </si>
  <si>
    <t xml:space="preserve">the scan report came back clear</t>
  </si>
  <si>
    <t xml:space="preserve">clear scan</t>
  </si>
  <si>
    <t xml:space="preserve">feeling heavy and tired</t>
  </si>
  <si>
    <t xml:space="preserve">my roommate moved out and the room is empty</t>
  </si>
  <si>
    <t xml:space="preserve">roommate left</t>
  </si>
  <si>
    <t xml:space="preserve">my roommate|ROLE</t>
  </si>
  <si>
    <t xml:space="preserve">i am worried about money again</t>
  </si>
  <si>
    <t xml:space="preserve">the stipend still has not come and rent is due this week</t>
  </si>
  <si>
    <t xml:space="preserve">late stipend</t>
  </si>
  <si>
    <t xml:space="preserve">this week|DATE</t>
  </si>
  <si>
    <t xml:space="preserve">really happy for riya</t>
  </si>
  <si>
    <t xml:space="preserve">she finally got the visa after two rejections</t>
  </si>
  <si>
    <t xml:space="preserve">friend got visa</t>
  </si>
  <si>
    <t xml:space="preserve">riya|PERSON</t>
  </si>
  <si>
    <t xml:space="preserve">i feel embarrassed</t>
  </si>
  <si>
    <t xml:space="preserve">i called the professor by the wrong name in front of everyone</t>
  </si>
  <si>
    <t xml:space="preserve">wrong name</t>
  </si>
  <si>
    <t xml:space="preserve">angry at the landlord</t>
  </si>
  <si>
    <t xml:space="preserve">he came into the flat without telling us</t>
  </si>
  <si>
    <t xml:space="preserve">landlord entered flat</t>
  </si>
  <si>
    <t xml:space="preserve">the landlord|ROLE</t>
  </si>
  <si>
    <t xml:space="preserve">so proud of my bro</t>
  </si>
  <si>
    <t xml:space="preserve">he cleared the written exam on his first try</t>
  </si>
  <si>
    <t xml:space="preserve">brother passed exam</t>
  </si>
  <si>
    <t xml:space="preserve">my bro|ROLE</t>
  </si>
  <si>
    <t xml:space="preserve">kind of scared of my own thoughts tonight</t>
  </si>
  <si>
    <t xml:space="preserve">the doctor said my reports need a follow up</t>
  </si>
  <si>
    <t xml:space="preserve">follow up reports</t>
  </si>
  <si>
    <t xml:space="preserve">tonight|DATE; the doctor|ROLE</t>
  </si>
  <si>
    <t xml:space="preserve">i honestly got scared hearing that</t>
  </si>
  <si>
    <t xml:space="preserve">the nurse at the health centre checked my bp and said it is low</t>
  </si>
  <si>
    <t xml:space="preserve">low blood pressure</t>
  </si>
  <si>
    <t xml:space="preserve">today|DATE; the nurse|ROLE</t>
  </si>
  <si>
    <t xml:space="preserve">i am so ashamed of myself</t>
  </si>
  <si>
    <t xml:space="preserve">the credit card bill came and it is 7200 more than i thought</t>
  </si>
  <si>
    <t xml:space="preserve">high card bill</t>
  </si>
  <si>
    <t xml:space="preserve">still it hurt</t>
  </si>
  <si>
    <t xml:space="preserve">my boyfriend did not reply to my text for the whole day and then sent a thumbs up in the night</t>
  </si>
  <si>
    <t xml:space="preserve">partner's thumbs up</t>
  </si>
  <si>
    <t xml:space="preserve">i feel more calm than usual</t>
  </si>
  <si>
    <t xml:space="preserve">managed to go for a walk for 30 mins after dinner with the new playlist</t>
  </si>
  <si>
    <t xml:space="preserve">evening walk</t>
  </si>
  <si>
    <t xml:space="preserve">i am genuinely so happy</t>
  </si>
  <si>
    <t xml:space="preserve">my scholarship got renewed for another year</t>
  </si>
  <si>
    <t xml:space="preserve">scholarship renewed</t>
  </si>
  <si>
    <t xml:space="preserve">honestly shocked</t>
  </si>
  <si>
    <t xml:space="preserve">my roommate had cleaned the entire room and even folded my clothes</t>
  </si>
  <si>
    <t xml:space="preserve">roommate cleaned</t>
  </si>
  <si>
    <t xml:space="preserve">my chest feels tight whenever i open the document</t>
  </si>
  <si>
    <t xml:space="preserve">the dissertation draft is due in 3 days and my guide has not replied to my mail since friday</t>
  </si>
  <si>
    <t xml:space="preserve">dissertation deadline</t>
  </si>
  <si>
    <t xml:space="preserve">my guide|ROLE; friday|DATE</t>
  </si>
  <si>
    <t xml:space="preserve">i just got so angry i left my food and went to my room</t>
  </si>
  <si>
    <t xml:space="preserve">papa told me again that my cousin earns more than me at the same age</t>
  </si>
  <si>
    <t xml:space="preserve">compared to cousin</t>
  </si>
  <si>
    <t xml:space="preserve">papa|ROLE; my cousin|ROLE</t>
  </si>
  <si>
    <t xml:space="preserve">felt really left out</t>
  </si>
  <si>
    <t xml:space="preserve">my close group went for the trip to Goa and i could not go because of the fees</t>
  </si>
  <si>
    <t xml:space="preserve">missed friends' trip</t>
  </si>
  <si>
    <t xml:space="preserve">Goa|LOCATION</t>
  </si>
  <si>
    <t xml:space="preserve">i walked out feeling taller than usual</t>
  </si>
  <si>
    <t xml:space="preserve">i said the answer out loud in the class even though i was not sure</t>
  </si>
  <si>
    <t xml:space="preserve">answered in class</t>
  </si>
  <si>
    <t xml:space="preserve">i slept through my alarm and missed the morning lab</t>
  </si>
  <si>
    <t xml:space="preserve">overslept lab</t>
  </si>
  <si>
    <t xml:space="preserve">my lab partner|ROLE</t>
  </si>
  <si>
    <t xml:space="preserve">i keep calculating how long we can manage like this</t>
  </si>
  <si>
    <t xml:space="preserve">my father's pension got delayed again this month</t>
  </si>
  <si>
    <t xml:space="preserve">pension delayed</t>
  </si>
  <si>
    <t xml:space="preserve">my father|ROLE; mummy|ROLE</t>
  </si>
  <si>
    <t xml:space="preserve">i felt so settled with her</t>
  </si>
  <si>
    <t xml:space="preserve">she held my hand the whole time</t>
  </si>
  <si>
    <t xml:space="preserve">quiet walk together</t>
  </si>
  <si>
    <t xml:space="preserve">i am really thankful for strangers like that</t>
  </si>
  <si>
    <t xml:space="preserve">three people ran to help and one of them even walked me to the clinic</t>
  </si>
  <si>
    <t xml:space="preserve">strangers helped</t>
  </si>
  <si>
    <t xml:space="preserve">today is going to be a good day i just know it</t>
  </si>
  <si>
    <t xml:space="preserve">the supervisor accepted my abstract for the student conference</t>
  </si>
  <si>
    <t xml:space="preserve">abstract accepted</t>
  </si>
  <si>
    <t xml:space="preserve">the supervisor|ROLE; today|DATE</t>
  </si>
  <si>
    <t xml:space="preserve">cannot stop shaking</t>
  </si>
  <si>
    <t xml:space="preserve">my grandfather fell in the bathroom last night and is at the hospital now</t>
  </si>
  <si>
    <t xml:space="preserve">grandfather in hospital</t>
  </si>
  <si>
    <t xml:space="preserve">my grandfather|ROLE; last night|DATE</t>
  </si>
  <si>
    <t xml:space="preserve">i was shouting on the phone like a madman</t>
  </si>
  <si>
    <t xml:space="preserve">the cab driver cancelled three times and then asked for extra to come</t>
  </si>
  <si>
    <t xml:space="preserve">cab cancellations</t>
  </si>
  <si>
    <t xml:space="preserve">the cab driver|ROLE</t>
  </si>
  <si>
    <t xml:space="preserve">i feel quietly happy</t>
  </si>
  <si>
    <t xml:space="preserve">finished the last page of the book i had been reading for two months</t>
  </si>
  <si>
    <t xml:space="preserve">finished book</t>
  </si>
  <si>
    <t xml:space="preserve">honestly just feel low</t>
  </si>
  <si>
    <t xml:space="preserve">i feel so far away from all of them</t>
  </si>
  <si>
    <t xml:space="preserve">feeling jittery since lunch</t>
  </si>
  <si>
    <t xml:space="preserve">suddenly felt so light</t>
  </si>
  <si>
    <t xml:space="preserve">i feel quite okay with everything</t>
  </si>
  <si>
    <t xml:space="preserve">feeling off today</t>
  </si>
  <si>
    <t xml:space="preserve">got this wave of gratitude while brushing my teeth lol</t>
  </si>
  <si>
    <t xml:space="preserve">irritated at nothing in particular</t>
  </si>
  <si>
    <t xml:space="preserve">weirdly guilty tonight</t>
  </si>
  <si>
    <t xml:space="preserve">so proud of this week</t>
  </si>
  <si>
    <t xml:space="preserve">just nervous for no reason</t>
  </si>
  <si>
    <t xml:space="preserve">i feel calm</t>
  </si>
  <si>
    <t xml:space="preserve">tired of trying so hard to look okay in front of everyone</t>
  </si>
  <si>
    <t xml:space="preserve">my eyes got wet on the bus for no reason</t>
  </si>
  <si>
    <t xml:space="preserve">everything felt too bright and too fast</t>
  </si>
  <si>
    <t xml:space="preserve">so relieved i laughed in the clinic</t>
  </si>
  <si>
    <t xml:space="preserve">my report came back normal</t>
  </si>
  <si>
    <t xml:space="preserve">normal report</t>
  </si>
  <si>
    <t xml:space="preserve">the nurse|ROLE</t>
  </si>
  <si>
    <t xml:space="preserve">my chest got tight again</t>
  </si>
  <si>
    <t xml:space="preserve">i got the bill, 3400 for tests that insurance will not cover</t>
  </si>
  <si>
    <t xml:space="preserve">uncovered medical bill</t>
  </si>
  <si>
    <t xml:space="preserve">i was glowing the whole evening</t>
  </si>
  <si>
    <t xml:space="preserve">he finally introduced me to his parents on a video call and they were so sweet to me</t>
  </si>
  <si>
    <t xml:space="preserve">met his parents</t>
  </si>
  <si>
    <t xml:space="preserve">i just went quiet</t>
  </si>
  <si>
    <t xml:space="preserve">he said he is not ready to talk about the future</t>
  </si>
  <si>
    <t xml:space="preserve">partner avoids future</t>
  </si>
  <si>
    <t xml:space="preserve">i felt such a relief</t>
  </si>
  <si>
    <t xml:space="preserve">our internal review got postponed to friday</t>
  </si>
  <si>
    <t xml:space="preserve">review postponed</t>
  </si>
  <si>
    <t xml:space="preserve">friday|DATE; my team lead|ROLE</t>
  </si>
  <si>
    <t xml:space="preserve">i got instantly anxious</t>
  </si>
  <si>
    <t xml:space="preserve">my team lead sent a message that the scope has doubled</t>
  </si>
  <si>
    <t xml:space="preserve">scope doubled</t>
  </si>
  <si>
    <t xml:space="preserve">i was so happy</t>
  </si>
  <si>
    <t xml:space="preserve">my roommate and i cooked dal khichdi at midnight and laughed so much that the warden knocked</t>
  </si>
  <si>
    <t xml:space="preserve">midnight cooking</t>
  </si>
  <si>
    <t xml:space="preserve">my roommate|ROLE; the warden|ROLE; my mom|ROLE; my cousin|ROLE</t>
  </si>
  <si>
    <t xml:space="preserve">i got annoyed immediately</t>
  </si>
  <si>
    <t xml:space="preserve">my mom called and said my cousin is getting married and i must come home for ten days</t>
  </si>
  <si>
    <t xml:space="preserve">forced wedding trip</t>
  </si>
  <si>
    <t xml:space="preserve">i feel really proud of how focused i was</t>
  </si>
  <si>
    <t xml:space="preserve">finished the first module in one sitting</t>
  </si>
  <si>
    <t xml:space="preserve">finished module</t>
  </si>
  <si>
    <t xml:space="preserve">next month|DATE</t>
  </si>
  <si>
    <t xml:space="preserve">so stressed now</t>
  </si>
  <si>
    <t xml:space="preserve">the course fee went through, nothing left till next month</t>
  </si>
  <si>
    <t xml:space="preserve">fee deducted</t>
  </si>
  <si>
    <t xml:space="preserve">i was beaming</t>
  </si>
  <si>
    <t xml:space="preserve">she screamed so loud i had to hold the phone away</t>
  </si>
  <si>
    <t xml:space="preserve">friend's reaction</t>
  </si>
  <si>
    <t xml:space="preserve">my best friend|ROLE; april|DATE</t>
  </si>
  <si>
    <t xml:space="preserve">i felt a heavy sadness thinking of leaving her</t>
  </si>
  <si>
    <t xml:space="preserve">i would have to leave the city in april</t>
  </si>
  <si>
    <t xml:space="preserve">leaving the city</t>
  </si>
  <si>
    <t xml:space="preserve">really scared</t>
  </si>
  <si>
    <t xml:space="preserve">the doctor said my sugar levels are borderline and i need to watch my diet</t>
  </si>
  <si>
    <t xml:space="preserve">borderline sugar</t>
  </si>
  <si>
    <t xml:space="preserve">the doctor|ROLE; my sister|ROLE; sunday|DATE</t>
  </si>
  <si>
    <t xml:space="preserve">so supported and grateful</t>
  </si>
  <si>
    <t xml:space="preserve">my sister sent a message that she will do the meal planning with me every sunday</t>
  </si>
  <si>
    <t xml:space="preserve">sister's support</t>
  </si>
  <si>
    <t xml:space="preserve">i felt a lump in my throat for like ten minutes</t>
  </si>
  <si>
    <t xml:space="preserve">found out that my ex is getting engaged from an instagram story</t>
  </si>
  <si>
    <t xml:space="preserve">ex engaged</t>
  </si>
  <si>
    <t xml:space="preserve">my ex|ROLE; the trainer|ROLE</t>
  </si>
  <si>
    <t xml:space="preserve">i felt proud of myself</t>
  </si>
  <si>
    <t xml:space="preserve">the trainer said my form has improved a lot</t>
  </si>
  <si>
    <t xml:space="preserve">gym form improved</t>
  </si>
  <si>
    <t xml:space="preserve">i was so angry i kept quiet</t>
  </si>
  <si>
    <t xml:space="preserve">the rent got increased by 3000 and my flatmates wanted to split it equally even though i have the smallest room</t>
  </si>
  <si>
    <t xml:space="preserve">unfair rent split</t>
  </si>
  <si>
    <t xml:space="preserve">the owner|ROLE</t>
  </si>
  <si>
    <t xml:space="preserve">i was surprised and a little grateful</t>
  </si>
  <si>
    <t xml:space="preserve">the owner called and said he will reduce it by 1000 for me</t>
  </si>
  <si>
    <t xml:space="preserve">owner reduced rent</t>
  </si>
  <si>
    <t xml:space="preserve">i was so angry i could not eat</t>
  </si>
  <si>
    <t xml:space="preserve">my lab partner copied the entire report from me and submitted it first</t>
  </si>
  <si>
    <t xml:space="preserve">report copied</t>
  </si>
  <si>
    <t xml:space="preserve">my lab partner|ROLE; the professor|ROLE</t>
  </si>
  <si>
    <t xml:space="preserve">really proud</t>
  </si>
  <si>
    <t xml:space="preserve">the professor praised my viva and said it was the best in the batch</t>
  </si>
  <si>
    <t xml:space="preserve">viva praised</t>
  </si>
  <si>
    <t xml:space="preserve">i was so irritated</t>
  </si>
  <si>
    <t xml:space="preserve">i missed the bus and had to walk 4 km in the sun, drenched in sweat</t>
  </si>
  <si>
    <t xml:space="preserve">missed bus</t>
  </si>
  <si>
    <t xml:space="preserve">i felt so cared for</t>
  </si>
  <si>
    <t xml:space="preserve">my friends had saved me a seat and ordered my favourite tea</t>
  </si>
  <si>
    <t xml:space="preserve">friends saved seat</t>
  </si>
  <si>
    <t xml:space="preserve">my heart stopped</t>
  </si>
  <si>
    <t xml:space="preserve">my phone rang at 2 am and it was an unknown number</t>
  </si>
  <si>
    <t xml:space="preserve">late night call</t>
  </si>
  <si>
    <t xml:space="preserve">my cousin|ROLE</t>
  </si>
  <si>
    <t xml:space="preserve">i was a little annoyed</t>
  </si>
  <si>
    <t xml:space="preserve">he did not check the time</t>
  </si>
  <si>
    <t xml:space="preserve">cousin's late call</t>
  </si>
  <si>
    <t xml:space="preserve">cried with relief</t>
  </si>
  <si>
    <t xml:space="preserve">got the biopsy report today and it is benign</t>
  </si>
  <si>
    <t xml:space="preserve">benign report</t>
  </si>
  <si>
    <t xml:space="preserve">today|DATE; my boss|ROLE; monday|DATE</t>
  </si>
  <si>
    <t xml:space="preserve">i felt my stomach drop</t>
  </si>
  <si>
    <t xml:space="preserve">my boss texted me that the client meeting is moved to monday morning</t>
  </si>
  <si>
    <t xml:space="preserve">meeting moved</t>
  </si>
  <si>
    <t xml:space="preserve">i could not stop smiling at my laptop</t>
  </si>
  <si>
    <t xml:space="preserve">i got a 92 in the entrance mock</t>
  </si>
  <si>
    <t xml:space="preserve">mock score</t>
  </si>
  <si>
    <t xml:space="preserve">makes my hands cold</t>
  </si>
  <si>
    <t xml:space="preserve">the thought of the real exam in two weeks</t>
  </si>
  <si>
    <t xml:space="preserve">upcoming exam</t>
  </si>
  <si>
    <t xml:space="preserve">it felt so good to treat them</t>
  </si>
  <si>
    <t xml:space="preserve">i paid for everyone with my own savings</t>
  </si>
  <si>
    <t xml:space="preserve">treated friends</t>
  </si>
  <si>
    <t xml:space="preserve">i felt a bit foolish</t>
  </si>
  <si>
    <t xml:space="preserve">my balance is 340 and the month has 12 days left</t>
  </si>
  <si>
    <t xml:space="preserve">i felt so warm inside</t>
  </si>
  <si>
    <t xml:space="preserve">my grandmother taught me how to make her special chutney and i wrote the whole recipe in my diary</t>
  </si>
  <si>
    <t xml:space="preserve">cooking with grandmother</t>
  </si>
  <si>
    <t xml:space="preserve">my grandmother|ROLE; mom|ROLE; nani|ROLE</t>
  </si>
  <si>
    <t xml:space="preserve">i could not sleep from worry</t>
  </si>
  <si>
    <t xml:space="preserve">mom told me that nani has not been taking her medicines properly</t>
  </si>
  <si>
    <t xml:space="preserve">grandmother's health</t>
  </si>
  <si>
    <t xml:space="preserve">i was so relieved</t>
  </si>
  <si>
    <t xml:space="preserve">she was honest and did not just ghost me</t>
  </si>
  <si>
    <t xml:space="preserve">honest reply</t>
  </si>
  <si>
    <t xml:space="preserve">my heart feels so heavy</t>
  </si>
  <si>
    <t xml:space="preserve">she said she needs time</t>
  </si>
  <si>
    <t xml:space="preserve">not ready yet</t>
  </si>
  <si>
    <t xml:space="preserve">i am so frustrated</t>
  </si>
  <si>
    <t xml:space="preserve">the electricity bill in the pg came 2100 higher because someone left the heater on all week</t>
  </si>
  <si>
    <t xml:space="preserve">high electricity bill</t>
  </si>
  <si>
    <t xml:space="preserve">the pg uncle|ROLE</t>
  </si>
  <si>
    <t xml:space="preserve">made me calm down</t>
  </si>
  <si>
    <t xml:space="preserve">the pg uncle gave us tea and said he will talk to everyone</t>
  </si>
  <si>
    <t xml:space="preserve">calm landlord</t>
  </si>
  <si>
    <t xml:space="preserve">felt so careless</t>
  </si>
  <si>
    <t xml:space="preserve">i overslept and missed the first half of the workshop</t>
  </si>
  <si>
    <t xml:space="preserve">overslept workshop</t>
  </si>
  <si>
    <t xml:space="preserve">the organiser|ROLE</t>
  </si>
  <si>
    <t xml:space="preserve">i was surprised by how kind he was</t>
  </si>
  <si>
    <t xml:space="preserve">the organiser let me join the second half and even shared the slides with me</t>
  </si>
  <si>
    <t xml:space="preserve">kind organiser</t>
  </si>
  <si>
    <t xml:space="preserve">honestly it felt so comforting</t>
  </si>
  <si>
    <t xml:space="preserve">dadu told me the same story about the 1971 war for the tenth time today and i smiled through it</t>
  </si>
  <si>
    <t xml:space="preserve">grandfather's story</t>
  </si>
  <si>
    <t xml:space="preserve">dadu|ROLE; today|DATE; mummy|ROLE</t>
  </si>
  <si>
    <t xml:space="preserve">i got very scared</t>
  </si>
  <si>
    <t xml:space="preserve">he started coughing badly</t>
  </si>
  <si>
    <t xml:space="preserve">grandfather coughing</t>
  </si>
  <si>
    <t xml:space="preserve">happy</t>
  </si>
  <si>
    <t xml:space="preserve">got the placement offer but the location is Hyderabad, away from home</t>
  </si>
  <si>
    <t xml:space="preserve">offer far from home</t>
  </si>
  <si>
    <t xml:space="preserve">Hyderabad|LOCATION</t>
  </si>
  <si>
    <t xml:space="preserve">anxious at once</t>
  </si>
  <si>
    <t xml:space="preserve">i am happy for her</t>
  </si>
  <si>
    <t xml:space="preserve">my best friend is getting married in december</t>
  </si>
  <si>
    <t xml:space="preserve">friend's wedding</t>
  </si>
  <si>
    <t xml:space="preserve">my best friend|ROLE; december|DATE</t>
  </si>
  <si>
    <t xml:space="preserve">feel left behind</t>
  </si>
  <si>
    <t xml:space="preserve">relieved</t>
  </si>
  <si>
    <t xml:space="preserve">the doctor said the fracture will heal in 6 weeks without surgery</t>
  </si>
  <si>
    <t xml:space="preserve">no surgery needed</t>
  </si>
  <si>
    <t xml:space="preserve">the doctor|ROLE</t>
  </si>
  <si>
    <t xml:space="preserve">a little scared of the long recovery</t>
  </si>
  <si>
    <t xml:space="preserve">i smiled like a fool</t>
  </si>
  <si>
    <t xml:space="preserve">she sent me a long voice note saying she misses me</t>
  </si>
  <si>
    <t xml:space="preserve">voice note</t>
  </si>
  <si>
    <t xml:space="preserve">felt a pang of guilt</t>
  </si>
  <si>
    <t xml:space="preserve">proud of myself</t>
  </si>
  <si>
    <t xml:space="preserve">my salary came in today, the first one</t>
  </si>
  <si>
    <t xml:space="preserve">first salary</t>
  </si>
  <si>
    <t xml:space="preserve">so nervous about managing it right</t>
  </si>
  <si>
    <t xml:space="preserve">excited to meet someone new</t>
  </si>
  <si>
    <t xml:space="preserve">the professor announced the project groups and i got paired with someone i have never spoken to</t>
  </si>
  <si>
    <t xml:space="preserve">new project partner</t>
  </si>
  <si>
    <t xml:space="preserve">feeling really grateful tonight</t>
  </si>
  <si>
    <t xml:space="preserve">so relieved</t>
  </si>
  <si>
    <t xml:space="preserve">so annoyed again</t>
  </si>
  <si>
    <t xml:space="preserve">feeling a bit lonely today</t>
  </si>
  <si>
    <t xml:space="preserve">really excited</t>
  </si>
  <si>
    <t xml:space="preserve">Karan|PERSON; Pune|LOCATION</t>
  </si>
  <si>
    <t xml:space="preserve">mom|ROLE</t>
  </si>
  <si>
    <t xml:space="preserve">Infosys|ORG; tonight|DATE</t>
  </si>
  <si>
    <t xml:space="preserve">Honestly proud of myself for actually finishing it</t>
  </si>
  <si>
    <t xml:space="preserve">Finally cleaned and reorganised my entire desk after weeks of putting it off</t>
  </si>
  <si>
    <t xml:space="preserve">cleaned desk</t>
  </si>
  <si>
    <t xml:space="preserve">Kishore Kumar|PERSON</t>
  </si>
  <si>
    <t xml:space="preserve">feeling really calm and loose</t>
  </si>
  <si>
    <t xml:space="preserve">did yoga on the terrace for 20 mins today with the sunrise coming up</t>
  </si>
  <si>
    <t xml:space="preserve">morning yoga</t>
  </si>
  <si>
    <t xml:space="preserve">really thankful</t>
  </si>
  <si>
    <t xml:space="preserve">Aarav lent me 3000 till the stipend comes without even asking why</t>
  </si>
  <si>
    <t xml:space="preserve">friend lent money</t>
  </si>
  <si>
    <t xml:space="preserve">Aarav|PERSON</t>
  </si>
  <si>
    <t xml:space="preserve">completely stunned</t>
  </si>
  <si>
    <t xml:space="preserve">walked into the common room and the whole floor had put up balloons and a banner for my birthday</t>
  </si>
  <si>
    <t xml:space="preserve">surprise birthday setup</t>
  </si>
  <si>
    <t xml:space="preserve">so guilty</t>
  </si>
  <si>
    <t xml:space="preserve">I picked up a pen from the bank counter and walked out with it without noticing</t>
  </si>
  <si>
    <t xml:space="preserve">took a pen</t>
  </si>
  <si>
    <t xml:space="preserve">Meera texted me good morning with a cat sticker and then sent a voice note singing off key</t>
  </si>
  <si>
    <t xml:space="preserve">cute texts</t>
  </si>
  <si>
    <t xml:space="preserve">Meera|PERSON; monday|DATE</t>
  </si>
  <si>
    <t xml:space="preserve">The client moved the demo from friday to wednesday and nobody told the backend team until the afternoon</t>
  </si>
  <si>
    <t xml:space="preserve">demo moved earlier</t>
  </si>
  <si>
    <t xml:space="preserve">friday|DATE; wednesday|DATE; Rohit|PERSON; tomorrow|DATE</t>
  </si>
  <si>
    <t xml:space="preserve">really worried it might be something serious</t>
  </si>
  <si>
    <t xml:space="preserve">got a rash on my arms after the new detergent and it is spreading</t>
  </si>
  <si>
    <t xml:space="preserve">spreading rash</t>
  </si>
  <si>
    <t xml:space="preserve">I felt completely at ease</t>
  </si>
  <si>
    <t xml:space="preserve">Spent the whole afternoon at Priya's place helping her fix her bike and then eating fresh pakoras on the balcony</t>
  </si>
  <si>
    <t xml:space="preserve">afternoon at friend's place</t>
  </si>
  <si>
    <t xml:space="preserve">Priya|PERSON</t>
  </si>
  <si>
    <t xml:space="preserve">so angry</t>
  </si>
  <si>
    <t xml:space="preserve">the airline cancelled my flight to Chennai an hour before departure and the refund will take 15 days</t>
  </si>
  <si>
    <t xml:space="preserve">cancelled flight</t>
  </si>
  <si>
    <t xml:space="preserve">Chennai|LOCATION</t>
  </si>
  <si>
    <t xml:space="preserve">feeling really hollow about it</t>
  </si>
  <si>
    <t xml:space="preserve">I deleted all my old photos from first year because the storage was full and later realised the folder with the trip pictures was gone too</t>
  </si>
  <si>
    <t xml:space="preserve">lost old photos</t>
  </si>
  <si>
    <t xml:space="preserve">so proud</t>
  </si>
  <si>
    <t xml:space="preserve">Did my first full pull-up at the gym today</t>
  </si>
  <si>
    <t xml:space="preserve">first pull-up</t>
  </si>
  <si>
    <t xml:space="preserve">checked my account before buying lunch and there was an extra 2500 there</t>
  </si>
  <si>
    <t xml:space="preserve">unexpected refund</t>
  </si>
  <si>
    <t xml:space="preserve">i am so happy i cannot even type properly</t>
  </si>
  <si>
    <t xml:space="preserve">Our startup pitch at the Pune hackathon got picked for the final round out of 60 teams</t>
  </si>
  <si>
    <t xml:space="preserve">pitch selected for final</t>
  </si>
  <si>
    <t xml:space="preserve">the printer jammed 5 mins before the submission deadline and the queue behind me kept growing</t>
  </si>
  <si>
    <t xml:space="preserve">printer jam</t>
  </si>
  <si>
    <t xml:space="preserve">feel terrible about it</t>
  </si>
  <si>
    <t xml:space="preserve">I forgot to wish Dev on his birthday and only realised at night when everyone had already posted stories</t>
  </si>
  <si>
    <t xml:space="preserve">forgot birthday wish</t>
  </si>
  <si>
    <t xml:space="preserve">feeling snug and quiet</t>
  </si>
  <si>
    <t xml:space="preserve">had a long hot shower and then read in bed with the lamp on</t>
  </si>
  <si>
    <t xml:space="preserve">cosy evening</t>
  </si>
  <si>
    <t xml:space="preserve">I am so angry and tired of explaining the same thing again and again</t>
  </si>
  <si>
    <t xml:space="preserve">Ankit told me he would call at nine and then did not call at all</t>
  </si>
  <si>
    <t xml:space="preserve">missed call</t>
  </si>
  <si>
    <t xml:space="preserve">Ankit|PERSON</t>
  </si>
  <si>
    <t xml:space="preserve">sooo happy lol</t>
  </si>
  <si>
    <t xml:space="preserve">found a 500 note in my old jeans pocket while doing laundry</t>
  </si>
  <si>
    <t xml:space="preserve">found money</t>
  </si>
  <si>
    <t xml:space="preserve">so stressed about how to manage both</t>
  </si>
  <si>
    <t xml:space="preserve">The physiotherapy exercises take forty minutes twice a day and my elbow still hurts when i type</t>
  </si>
  <si>
    <t xml:space="preserve">elbow pain and assignment</t>
  </si>
  <si>
    <t xml:space="preserve">grateful for people like her</t>
  </si>
  <si>
    <t xml:space="preserve">Neha stayed on call with me till 2 am while i fixed my resume</t>
  </si>
  <si>
    <t xml:space="preserve">friend stayed on call</t>
  </si>
  <si>
    <t xml:space="preserve">proud of myself for not skipping it like i usually do</t>
  </si>
  <si>
    <t xml:space="preserve">I gave my first ever talk at the Kolkata book club about the novel i read last year</t>
  </si>
  <si>
    <t xml:space="preserve">first book club talk</t>
  </si>
  <si>
    <t xml:space="preserve">Kolkata|LOCATION; last year|DATE</t>
  </si>
  <si>
    <t xml:space="preserve">completely shocked</t>
  </si>
  <si>
    <t xml:space="preserve">the stranger sitting next to me on the train turned out to be from my own school batch</t>
  </si>
  <si>
    <t xml:space="preserve">met batchmate on train</t>
  </si>
  <si>
    <t xml:space="preserve">Nagpur|LOCATION</t>
  </si>
  <si>
    <t xml:space="preserve">I feel so guilty about wasting money</t>
  </si>
  <si>
    <t xml:space="preserve">I ordered a 1800 rupee jacket online even though i had promised myself no shopping till next month</t>
  </si>
  <si>
    <t xml:space="preserve">impulse purchase</t>
  </si>
  <si>
    <t xml:space="preserve">The corner pharmacy gave me my medicines at the old price even though the rate had gone up</t>
  </si>
  <si>
    <t xml:space="preserve">pharmacy kept old price</t>
  </si>
  <si>
    <t xml:space="preserve">next week|DATE</t>
  </si>
  <si>
    <t xml:space="preserve">feeling really low now</t>
  </si>
  <si>
    <t xml:space="preserve">scrolled through my old chat with Riya for an hour</t>
  </si>
  <si>
    <t xml:space="preserve">old chat</t>
  </si>
  <si>
    <t xml:space="preserve">It felt so natural, so calm</t>
  </si>
  <si>
    <t xml:space="preserve">Kabir and I cooked together for the first time and the pasta was a bit salty but we ate it all anyway</t>
  </si>
  <si>
    <t xml:space="preserve">cooking together</t>
  </si>
  <si>
    <t xml:space="preserve">Kabir|PERSON</t>
  </si>
  <si>
    <t xml:space="preserve">what a shock</t>
  </si>
  <si>
    <t xml:space="preserve">got 94 in the paper i thought i had failed</t>
  </si>
  <si>
    <t xml:space="preserve">unexpected high marks</t>
  </si>
  <si>
    <t xml:space="preserve">so stressed about the presentation i have to give with unwashed hair</t>
  </si>
  <si>
    <t xml:space="preserve">The water supply in our building stopped on saturday and has not come back</t>
  </si>
  <si>
    <t xml:space="preserve">no water supply</t>
  </si>
  <si>
    <t xml:space="preserve">saturday|DATE; monday|DATE</t>
  </si>
  <si>
    <t xml:space="preserve">so happy to see them</t>
  </si>
  <si>
    <t xml:space="preserve">Arjun and Tanya came to Indore just to surprise me for the weekend</t>
  </si>
  <si>
    <t xml:space="preserve">friends visited</t>
  </si>
  <si>
    <t xml:space="preserve">Arjun|PERSON; Tanya|PERSON; Indore|LOCATION</t>
  </si>
  <si>
    <t xml:space="preserve">I feel like i keep letting myself down</t>
  </si>
  <si>
    <t xml:space="preserve">I promised myself i would wake up at 6 and go for a run and then i hit snooze five times</t>
  </si>
  <si>
    <t xml:space="preserve">broke morning promise</t>
  </si>
  <si>
    <t xml:space="preserve">feeling so settled</t>
  </si>
  <si>
    <t xml:space="preserve">my vitamin levels came back normal in the new report</t>
  </si>
  <si>
    <t xml:space="preserve">normal vitamin levels</t>
  </si>
  <si>
    <t xml:space="preserve">so annoyed at this useless bot</t>
  </si>
  <si>
    <t xml:space="preserve">Zomato charged me twice for the same order and the support chat kept repeating the same line</t>
  </si>
  <si>
    <t xml:space="preserve">double charge</t>
  </si>
  <si>
    <t xml:space="preserve">Zomato|ORG</t>
  </si>
  <si>
    <t xml:space="preserve">I laughed out loud on the street, so happy</t>
  </si>
  <si>
    <t xml:space="preserve">The monsoon started in Mumbai today and i got completely drenched on the way back from the station</t>
  </si>
  <si>
    <t xml:space="preserve">first rain</t>
  </si>
  <si>
    <t xml:space="preserve">Mumbai|LOCATION; today|DATE</t>
  </si>
  <si>
    <t xml:space="preserve">proud</t>
  </si>
  <si>
    <t xml:space="preserve">got selected as the department rep for the national symposium</t>
  </si>
  <si>
    <t xml:space="preserve">selected for symposium</t>
  </si>
  <si>
    <t xml:space="preserve">scared it is bad news</t>
  </si>
  <si>
    <t xml:space="preserve">Sana said we need to talk about something important tonight</t>
  </si>
  <si>
    <t xml:space="preserve">important talk pending</t>
  </si>
  <si>
    <t xml:space="preserve">Sana|PERSON; tonight|DATE</t>
  </si>
  <si>
    <t xml:space="preserve">so stressed and not even doing anything about it</t>
  </si>
  <si>
    <t xml:space="preserve">I opened the planner and saw the list of things i had not done for the whole week</t>
  </si>
  <si>
    <t xml:space="preserve">pile of pending tasks</t>
  </si>
  <si>
    <t xml:space="preserve">i was honestly shocked</t>
  </si>
  <si>
    <t xml:space="preserve">Karan walked up and handed me the notebook i lost two months ago</t>
  </si>
  <si>
    <t xml:space="preserve">lost notebook returned</t>
  </si>
  <si>
    <t xml:space="preserve">feeling very peaceful</t>
  </si>
  <si>
    <t xml:space="preserve">caught the sunset from the metro bridge on my way back</t>
  </si>
  <si>
    <t xml:space="preserve">sunset</t>
  </si>
  <si>
    <t xml:space="preserve">so irritated that i trusted it blindly</t>
  </si>
  <si>
    <t xml:space="preserve">the diet chart i got from the gym was totally wrong for me and i followed it for a week</t>
  </si>
  <si>
    <t xml:space="preserve">wrong diet chart</t>
  </si>
  <si>
    <t xml:space="preserve">so thankful today</t>
  </si>
  <si>
    <t xml:space="preserve">Tanya stayed back after class to explain the whole chapter again</t>
  </si>
  <si>
    <t xml:space="preserve">friend explained chapter</t>
  </si>
  <si>
    <t xml:space="preserve">today|DATE; Tanya|PERSON</t>
  </si>
  <si>
    <t xml:space="preserve">feeling pretty low</t>
  </si>
  <si>
    <t xml:space="preserve">my project got rejected at the review and i do not know how to fix it</t>
  </si>
  <si>
    <t xml:space="preserve">project rejected</t>
  </si>
  <si>
    <t xml:space="preserve">I am nervous about the blood test tomorrow</t>
  </si>
  <si>
    <t xml:space="preserve">last time they could not find my vein and poked me four times</t>
  </si>
  <si>
    <t xml:space="preserve">bad past blood test</t>
  </si>
  <si>
    <t xml:space="preserve">tomorrow|DATE</t>
  </si>
  <si>
    <t xml:space="preserve">kinda proud of myself</t>
  </si>
  <si>
    <t xml:space="preserve">i spoke up in the meeting even though my voice was shaking</t>
  </si>
  <si>
    <t xml:space="preserve">spoke up</t>
  </si>
  <si>
    <t xml:space="preserve">so irritated at Rahul</t>
  </si>
  <si>
    <t xml:space="preserve">he keeps parking his bike in front of my gate</t>
  </si>
  <si>
    <t xml:space="preserve">blocked gate</t>
  </si>
  <si>
    <t xml:space="preserve">Rahul|PERSON</t>
  </si>
  <si>
    <t xml:space="preserve">I feel awful</t>
  </si>
  <si>
    <t xml:space="preserve">i laughed at Isha's presentation without realising she could see me</t>
  </si>
  <si>
    <t xml:space="preserve">laughed at presentation</t>
  </si>
  <si>
    <t xml:space="preserve">Isha|PERSON</t>
  </si>
  <si>
    <t xml:space="preserve">so shocked right now</t>
  </si>
  <si>
    <t xml:space="preserve">the results are out a week early and i passed everything</t>
  </si>
  <si>
    <t xml:space="preserve">early results</t>
  </si>
  <si>
    <t xml:space="preserve">feeling pretty content tonight</t>
  </si>
  <si>
    <t xml:space="preserve">the rent is paid, the fridge is full and nothing is due</t>
  </si>
  <si>
    <t xml:space="preserve">no pending bills</t>
  </si>
  <si>
    <t xml:space="preserve">I am stressed about the loan form</t>
  </si>
  <si>
    <t xml:space="preserve">it needs three signatures and i have only got one</t>
  </si>
  <si>
    <t xml:space="preserve">loan form signatures</t>
  </si>
  <si>
    <t xml:space="preserve">really happy for Zoya</t>
  </si>
  <si>
    <t xml:space="preserve">she finally got her first paycheque and treated everyone</t>
  </si>
  <si>
    <t xml:space="preserve">friend's first paycheque</t>
  </si>
  <si>
    <t xml:space="preserve">Zoya|PERSON</t>
  </si>
  <si>
    <t xml:space="preserve">so lonely in this new city</t>
  </si>
  <si>
    <t xml:space="preserve">everyone from my batch got posted to other places</t>
  </si>
  <si>
    <t xml:space="preserve">friends posted elsewhere</t>
  </si>
  <si>
    <t xml:space="preserve">feeling embarrassed</t>
  </si>
  <si>
    <t xml:space="preserve">i mixed up two people's names at the meetup and one of them noticed</t>
  </si>
  <si>
    <t xml:space="preserve">mixed up names</t>
  </si>
  <si>
    <t xml:space="preserve">grateful for this quiet weekend</t>
  </si>
  <si>
    <t xml:space="preserve">i really needed time away from the screens</t>
  </si>
  <si>
    <t xml:space="preserve">screen break</t>
  </si>
  <si>
    <t xml:space="preserve">pretty anxious about the audit tomorrow</t>
  </si>
  <si>
    <t xml:space="preserve">half the files are still not uploaded</t>
  </si>
  <si>
    <t xml:space="preserve">files not uploaded</t>
  </si>
  <si>
    <t xml:space="preserve">so proud of the hostel team</t>
  </si>
  <si>
    <t xml:space="preserve">we cleaned the entire block in one afternoon and it actually looks nice</t>
  </si>
  <si>
    <t xml:space="preserve">cleaned the block</t>
  </si>
  <si>
    <t xml:space="preserve">feeling calm today</t>
  </si>
  <si>
    <t xml:space="preserve">the sea breeze at Marine Drive cleared my head after a really long week</t>
  </si>
  <si>
    <t xml:space="preserve">sea breeze walk</t>
  </si>
  <si>
    <t xml:space="preserve">today|DATE; Marine Drive|LOCATION</t>
  </si>
  <si>
    <t xml:space="preserve">stressed</t>
  </si>
  <si>
    <t xml:space="preserve">the wifi has been down for two days and i have an online exam tonight</t>
  </si>
  <si>
    <t xml:space="preserve">wifi down before exam</t>
  </si>
  <si>
    <t xml:space="preserve">feeling really left out and a bit stupid for even checking</t>
  </si>
  <si>
    <t xml:space="preserve">They did not tell me about it, i saw the group photo on instagram later</t>
  </si>
  <si>
    <t xml:space="preserve">left out of meetup</t>
  </si>
  <si>
    <t xml:space="preserve">Aditi|PERSON</t>
  </si>
  <si>
    <t xml:space="preserve">scared to tell anyone</t>
  </si>
  <si>
    <t xml:space="preserve">I woke up with chest pain at 3 am and sat on the floor till it passed</t>
  </si>
  <si>
    <t xml:space="preserve">chest pain at night</t>
  </si>
  <si>
    <t xml:space="preserve">honestly so proud of both of us</t>
  </si>
  <si>
    <t xml:space="preserve">Our paper was accepted at the student conference in Delhi after two rounds of revision</t>
  </si>
  <si>
    <t xml:space="preserve">paper accepted</t>
  </si>
  <si>
    <t xml:space="preserve">Delhi|LOCATION; Rohit|PERSON; Today|DATE</t>
  </si>
  <si>
    <t xml:space="preserve">the month is only half over and i have 800 rupees left</t>
  </si>
  <si>
    <t xml:space="preserve">money running out</t>
  </si>
  <si>
    <t xml:space="preserve">i am so grateful to have him</t>
  </si>
  <si>
    <t xml:space="preserve">Farhan noticed that i had skipped lunch and showed up at my hostel with two parathas in foil</t>
  </si>
  <si>
    <t xml:space="preserve">brought food</t>
  </si>
  <si>
    <t xml:space="preserve">Farhan|PERSON</t>
  </si>
  <si>
    <t xml:space="preserve">i was seething the whole way</t>
  </si>
  <si>
    <t xml:space="preserve">the cab app showed 4 mins away for twenty minutes straight</t>
  </si>
  <si>
    <t xml:space="preserve">cab app delays</t>
  </si>
  <si>
    <t xml:space="preserve">i felt weirdly full and quiet</t>
  </si>
  <si>
    <t xml:space="preserve">Spent the evening just sitting on the roof watching the kites go by</t>
  </si>
  <si>
    <t xml:space="preserve">evening on roof</t>
  </si>
  <si>
    <t xml:space="preserve">i feel like such a bad friend</t>
  </si>
  <si>
    <t xml:space="preserve">i borrowed Sam's charger last week and lost it in the lab</t>
  </si>
  <si>
    <t xml:space="preserve">lost friend's charger</t>
  </si>
  <si>
    <t xml:space="preserve">Sam|PERSON; last week|DATE; Today|DATE</t>
  </si>
  <si>
    <t xml:space="preserve">what a surprise</t>
  </si>
  <si>
    <t xml:space="preserve">the report said my number has actually decreased since last time</t>
  </si>
  <si>
    <t xml:space="preserve">eye number decreased</t>
  </si>
  <si>
    <t xml:space="preserve">really scared i will fail</t>
  </si>
  <si>
    <t xml:space="preserve">The placement cell announced the aptitude test for Wipro on thursday</t>
  </si>
  <si>
    <t xml:space="preserve">aptitude test announced</t>
  </si>
  <si>
    <t xml:space="preserve">Wipro|ORG; thursday|DATE</t>
  </si>
  <si>
    <t xml:space="preserve">it just feels really heavy tonight</t>
  </si>
  <si>
    <t xml:space="preserve">her train got cancelled due to the floods near Kerala</t>
  </si>
  <si>
    <t xml:space="preserve">visit cancelled</t>
  </si>
  <si>
    <t xml:space="preserve">Tara|PERSON; This weekend|DATE; Kerala|LOCATION; tonight|DATE</t>
  </si>
  <si>
    <t xml:space="preserve">i am unreasonably happy about a pressure cooker</t>
  </si>
  <si>
    <t xml:space="preserve">we won the tambola at the society event and the prize was a pressure cooker</t>
  </si>
  <si>
    <t xml:space="preserve">won tambola</t>
  </si>
  <si>
    <t xml:space="preserve">I feel like a fraud</t>
  </si>
  <si>
    <t xml:space="preserve">I told the group i had finished my part of the report when i had only done half</t>
  </si>
  <si>
    <t xml:space="preserve">lied about report</t>
  </si>
  <si>
    <t xml:space="preserve">my cashback finally came through</t>
  </si>
  <si>
    <t xml:space="preserve">cashback received</t>
  </si>
  <si>
    <t xml:space="preserve">i feel like my head has finally settled</t>
  </si>
  <si>
    <t xml:space="preserve">Slept at 10 and woke up at 6 and went for a slow walk in the park with a flask of tea</t>
  </si>
  <si>
    <t xml:space="preserve">early walk</t>
  </si>
  <si>
    <t xml:space="preserve">so stressed, i feel like cancelling the whole thing</t>
  </si>
  <si>
    <t xml:space="preserve">the group trip planning has turned into a mess</t>
  </si>
  <si>
    <t xml:space="preserve">messy trip planning</t>
  </si>
  <si>
    <t xml:space="preserve">opened the door to find a huge cardboard box on the doorstep</t>
  </si>
  <si>
    <t xml:space="preserve">mystery package</t>
  </si>
  <si>
    <t xml:space="preserve">i keep feeling a lump in my throat</t>
  </si>
  <si>
    <t xml:space="preserve">It was my last day at the old flat</t>
  </si>
  <si>
    <t xml:space="preserve">moved out</t>
  </si>
  <si>
    <t xml:space="preserve">My internship offer from Flipkart came this morning and the stipend is more than i expected</t>
  </si>
  <si>
    <t xml:space="preserve">internship offer</t>
  </si>
  <si>
    <t xml:space="preserve">Flipkart|ORG; this morning|DATE; Isha|PERSON</t>
  </si>
  <si>
    <t xml:space="preserve">i am so angry i cannot even look at the group</t>
  </si>
  <si>
    <t xml:space="preserve">Veer posted my private photo on the class group without asking</t>
  </si>
  <si>
    <t xml:space="preserve">photo shared without consent</t>
  </si>
  <si>
    <t xml:space="preserve">Veer|PERSON</t>
  </si>
  <si>
    <t xml:space="preserve">i just feel like talking to nobody</t>
  </si>
  <si>
    <t xml:space="preserve">restless since the morning</t>
  </si>
  <si>
    <t xml:space="preserve">a bright feeling since i woke up</t>
  </si>
  <si>
    <t xml:space="preserve">so cranky since morning</t>
  </si>
  <si>
    <t xml:space="preserve">i feel warm and quiet</t>
  </si>
  <si>
    <t xml:space="preserve">feeling oddly guilty today</t>
  </si>
  <si>
    <t xml:space="preserve">I woke up grateful</t>
  </si>
  <si>
    <t xml:space="preserve">anxious about nothing</t>
  </si>
  <si>
    <t xml:space="preserve">so tired of everything today</t>
  </si>
  <si>
    <t xml:space="preserve">I cried a little in the shower</t>
  </si>
  <si>
    <t xml:space="preserve">kinda proud of how the week went</t>
  </si>
  <si>
    <t xml:space="preserve">kinda surprised at how calm i am today</t>
  </si>
  <si>
    <t xml:space="preserve">feeling a bit down after dinner</t>
  </si>
  <si>
    <t xml:space="preserve">The mind was just blank and happy</t>
  </si>
  <si>
    <t xml:space="preserve">irritated all through the lecture</t>
  </si>
  <si>
    <t xml:space="preserve">I felt a wave of pride seeing my reflection in the shop window</t>
  </si>
  <si>
    <t xml:space="preserve">the night feels heavy</t>
  </si>
  <si>
    <t xml:space="preserve">so jumpy today</t>
  </si>
  <si>
    <t xml:space="preserve">feeling guilty about nothing in particular, again</t>
  </si>
  <si>
    <t xml:space="preserve">i feel completely fine</t>
  </si>
  <si>
    <t xml:space="preserve">just thankful</t>
  </si>
  <si>
    <t xml:space="preserve">overwhelmed all week</t>
  </si>
  <si>
    <t xml:space="preserve">wednesday|DATE</t>
  </si>
  <si>
    <t xml:space="preserve">Our flight to Jaipur got upgraded to business class for no reason</t>
  </si>
  <si>
    <t xml:space="preserve">flight upgrade</t>
  </si>
  <si>
    <t xml:space="preserve">Jaipur|LOCATION</t>
  </si>
  <si>
    <t xml:space="preserve">I got really stressed</t>
  </si>
  <si>
    <t xml:space="preserve">at the gate I realised my laptop charger was in the checked bag and the presentation was in two hours</t>
  </si>
  <si>
    <t xml:space="preserve">charger in checked bag</t>
  </si>
  <si>
    <t xml:space="preserve">I was so grateful</t>
  </si>
  <si>
    <t xml:space="preserve">Aarti covered for me at the front desk when i was late and nobody noticed</t>
  </si>
  <si>
    <t xml:space="preserve">colleague covered</t>
  </si>
  <si>
    <t xml:space="preserve">Aarti|PERSON</t>
  </si>
  <si>
    <t xml:space="preserve">i could not shake the guilty feeling for the rest of the day</t>
  </si>
  <si>
    <t xml:space="preserve">i had told her a lie about why i was late</t>
  </si>
  <si>
    <t xml:space="preserve">lied about being late</t>
  </si>
  <si>
    <t xml:space="preserve">I felt really proud</t>
  </si>
  <si>
    <t xml:space="preserve">I finished my first full month of budgeting and stayed under the limit by 400 rupees</t>
  </si>
  <si>
    <t xml:space="preserve">stayed under budget</t>
  </si>
  <si>
    <t xml:space="preserve">Tanmay|PERSON</t>
  </si>
  <si>
    <t xml:space="preserve">that familiar tightness</t>
  </si>
  <si>
    <t xml:space="preserve">the electricity bill landed on my phone and wiped out the saving</t>
  </si>
  <si>
    <t xml:space="preserve">electricity bill</t>
  </si>
  <si>
    <t xml:space="preserve">i felt so full and relaxed</t>
  </si>
  <si>
    <t xml:space="preserve">We had a lazy sunday brunch with the old group at the new place near FC Road</t>
  </si>
  <si>
    <t xml:space="preserve">sunday brunch</t>
  </si>
  <si>
    <t xml:space="preserve">sunday|DATE; FC Road|LOCATION; Pooja|PERSON; Berlin|LOCATION; next month|DATE</t>
  </si>
  <si>
    <t xml:space="preserve">i went quiet</t>
  </si>
  <si>
    <t xml:space="preserve">someone mentioned that Pooja is moving to Berlin next month</t>
  </si>
  <si>
    <t xml:space="preserve">friend moving abroad</t>
  </si>
  <si>
    <t xml:space="preserve">I was honestly stunned</t>
  </si>
  <si>
    <t xml:space="preserve">A stranger paid for my chai at a stall in Hampi and refused to take the money back</t>
  </si>
  <si>
    <t xml:space="preserve">stranger paid for chai</t>
  </si>
  <si>
    <t xml:space="preserve">Hampi|LOCATION</t>
  </si>
  <si>
    <t xml:space="preserve">my waitlisted train ticket got confirmed</t>
  </si>
  <si>
    <t xml:space="preserve">ticket confirmed</t>
  </si>
  <si>
    <t xml:space="preserve">i felt terrible the whole evening</t>
  </si>
  <si>
    <t xml:space="preserve">I yelled at Kunal for using my charger without asking and he looked really hurt</t>
  </si>
  <si>
    <t xml:space="preserve">yelled at friend</t>
  </si>
  <si>
    <t xml:space="preserve">Kunal|PERSON</t>
  </si>
  <si>
    <t xml:space="preserve">everything felt okay again</t>
  </si>
  <si>
    <t xml:space="preserve">he came with two cups of tea and we sat quietly on the stairs</t>
  </si>
  <si>
    <t xml:space="preserve">made up over tea</t>
  </si>
  <si>
    <t xml:space="preserve">I was so angry i almost shouted at the reception</t>
  </si>
  <si>
    <t xml:space="preserve">The clinic made me wait for three hours and then said the report is not ready</t>
  </si>
  <si>
    <t xml:space="preserve">long clinic wait</t>
  </si>
  <si>
    <t xml:space="preserve">i felt very thankful for the small kindness</t>
  </si>
  <si>
    <t xml:space="preserve">an old woman in the queue shared her biscuits with me and asked about my day</t>
  </si>
  <si>
    <t xml:space="preserve">stranger shared biscuits</t>
  </si>
  <si>
    <t xml:space="preserve">I was terrified before the viva</t>
  </si>
  <si>
    <t xml:space="preserve">i had not slept the whole night</t>
  </si>
  <si>
    <t xml:space="preserve">no sleep before viva</t>
  </si>
  <si>
    <t xml:space="preserve">i felt really proud of myself</t>
  </si>
  <si>
    <t xml:space="preserve">i was explaining the circuit diagram with confidence</t>
  </si>
  <si>
    <t xml:space="preserve">confident viva answers</t>
  </si>
  <si>
    <t xml:space="preserve">i felt a lump in my throat</t>
  </si>
  <si>
    <t xml:space="preserve">It is being sold next month</t>
  </si>
  <si>
    <t xml:space="preserve">village house sold</t>
  </si>
  <si>
    <t xml:space="preserve">today|DATE; next month|DATE; Vikram|PERSON</t>
  </si>
  <si>
    <t xml:space="preserve">i was so thankful he thought of me</t>
  </si>
  <si>
    <t xml:space="preserve">Vikram sent me a voice note with the sound of the old temple bells he recorded last time</t>
  </si>
  <si>
    <t xml:space="preserve">voice note of bells</t>
  </si>
  <si>
    <t xml:space="preserve">i was so happy walking beside the lake with her</t>
  </si>
  <si>
    <t xml:space="preserve">We went for our first trip together to Udaipur</t>
  </si>
  <si>
    <t xml:space="preserve">first trip together</t>
  </si>
  <si>
    <t xml:space="preserve">Udaipur|LOCATION; Sagar|PERSON</t>
  </si>
  <si>
    <t xml:space="preserve">i felt bad for lying</t>
  </si>
  <si>
    <t xml:space="preserve">i had told my friends i was too busy to attend Sagar's engagement</t>
  </si>
  <si>
    <t xml:space="preserve">lied about engagement</t>
  </si>
  <si>
    <t xml:space="preserve">i feel so stressed all day</t>
  </si>
  <si>
    <t xml:space="preserve">I have been sleeping 4 hours a night because of the deadline</t>
  </si>
  <si>
    <t xml:space="preserve">sleep loss</t>
  </si>
  <si>
    <t xml:space="preserve">Yesterday|DATE; Chaitanya|PERSON</t>
  </si>
  <si>
    <t xml:space="preserve">feeling sorted and calm</t>
  </si>
  <si>
    <t xml:space="preserve">Yesterday i finally slept 9 hours at Chaitanya's place</t>
  </si>
  <si>
    <t xml:space="preserve">long sleep</t>
  </si>
  <si>
    <t xml:space="preserve">i was fuming</t>
  </si>
  <si>
    <t xml:space="preserve">The bank deducted 590 as 'annual charges' without any message</t>
  </si>
  <si>
    <t xml:space="preserve">bank deduction</t>
  </si>
  <si>
    <t xml:space="preserve">I was very surprised</t>
  </si>
  <si>
    <t xml:space="preserve">it actually came back in an hour</t>
  </si>
  <si>
    <t xml:space="preserve">refund in an hour</t>
  </si>
  <si>
    <t xml:space="preserve">my knees got weak</t>
  </si>
  <si>
    <t xml:space="preserve">my name was announced</t>
  </si>
  <si>
    <t xml:space="preserve">name called on stage</t>
  </si>
  <si>
    <t xml:space="preserve">I felt so proud walking back to my seat</t>
  </si>
  <si>
    <t xml:space="preserve">I got a loud round of applause at the end</t>
  </si>
  <si>
    <t xml:space="preserve">applause</t>
  </si>
  <si>
    <t xml:space="preserve">so touched i could not stop smiling</t>
  </si>
  <si>
    <t xml:space="preserve">Mira wrote me a three page letter on my last day at the PG</t>
  </si>
  <si>
    <t xml:space="preserve">goodbye letter</t>
  </si>
  <si>
    <t xml:space="preserve">Mira|PERSON</t>
  </si>
  <si>
    <t xml:space="preserve">the sadness hit slowly</t>
  </si>
  <si>
    <t xml:space="preserve">the train crossed the city limits and i realised how far i had come from all of them</t>
  </si>
  <si>
    <t xml:space="preserve">leaving friends behind</t>
  </si>
  <si>
    <t xml:space="preserve">felt like the worst senior ever</t>
  </si>
  <si>
    <t xml:space="preserve">I snapped at a junior during the lab and i immediately regretted it</t>
  </si>
  <si>
    <t xml:space="preserve">snapped at junior</t>
  </si>
  <si>
    <t xml:space="preserve">i felt proud that i could say sorry without making excuses</t>
  </si>
  <si>
    <t xml:space="preserve">i apologised in front of everyone and he smiled</t>
  </si>
  <si>
    <t xml:space="preserve">apologised publicly</t>
  </si>
  <si>
    <t xml:space="preserve">I was shocked</t>
  </si>
  <si>
    <t xml:space="preserve">the farewell has been advanced to friday and nobody was ready</t>
  </si>
  <si>
    <t xml:space="preserve">farewell advanced</t>
  </si>
  <si>
    <t xml:space="preserve">friday|DATE; Shreya|PERSON; Lucknow|LOCATION</t>
  </si>
  <si>
    <t xml:space="preserve">i felt sad that the group will be incomplete</t>
  </si>
  <si>
    <t xml:space="preserve">Shreya said she cannot attend because of her exam in Lucknow</t>
  </si>
  <si>
    <t xml:space="preserve">friend cannot attend</t>
  </si>
  <si>
    <t xml:space="preserve">i felt so peaceful</t>
  </si>
  <si>
    <t xml:space="preserve">The bus was empty and i got the window seat with golden evening light</t>
  </si>
  <si>
    <t xml:space="preserve">empty bus</t>
  </si>
  <si>
    <t xml:space="preserve">i was boiling with anger</t>
  </si>
  <si>
    <t xml:space="preserve">two men got on and started playing loud videos without earphones</t>
  </si>
  <si>
    <t xml:space="preserve">loud videos on bus</t>
  </si>
  <si>
    <t xml:space="preserve">i have never been so happy in this department</t>
  </si>
  <si>
    <t xml:space="preserve">Our team got the best project award in the final review</t>
  </si>
  <si>
    <t xml:space="preserve">project award</t>
  </si>
  <si>
    <t xml:space="preserve">Prof. Desai|PERSON</t>
  </si>
  <si>
    <t xml:space="preserve">the report must be submitted in two days with corrections</t>
  </si>
  <si>
    <t xml:space="preserve">report corrections</t>
  </si>
  <si>
    <t xml:space="preserve">My stomach clenches every time i look at the calendar</t>
  </si>
  <si>
    <t xml:space="preserve">I have to get the dental surgery done on monday</t>
  </si>
  <si>
    <t xml:space="preserve">dental surgery</t>
  </si>
  <si>
    <t xml:space="preserve">monday|DATE; Ruchi|PERSON</t>
  </si>
  <si>
    <t xml:space="preserve">i felt so lucky to have her in my life</t>
  </si>
  <si>
    <t xml:space="preserve">Ruchi booked me a cab and said she will wait outside the whole time</t>
  </si>
  <si>
    <t xml:space="preserve">friend's support</t>
  </si>
  <si>
    <t xml:space="preserve">felt completely empty</t>
  </si>
  <si>
    <t xml:space="preserve">We had the breakup talk in the park and it was calm</t>
  </si>
  <si>
    <t xml:space="preserve">calm breakup</t>
  </si>
  <si>
    <t xml:space="preserve">oddly at peace</t>
  </si>
  <si>
    <t xml:space="preserve">i made khichdi, opened the window</t>
  </si>
  <si>
    <t xml:space="preserve">quiet night after</t>
  </si>
  <si>
    <t xml:space="preserve">i was so annoyed</t>
  </si>
  <si>
    <t xml:space="preserve">Manav kept interrupting me in the meeting to correct small things</t>
  </si>
  <si>
    <t xml:space="preserve">interrupted in meeting</t>
  </si>
  <si>
    <t xml:space="preserve">Manav|PERSON</t>
  </si>
  <si>
    <t xml:space="preserve">i felt like a coward</t>
  </si>
  <si>
    <t xml:space="preserve">i said something snarky about him in the group and then saw he was reading it</t>
  </si>
  <si>
    <t xml:space="preserve">snarky message</t>
  </si>
  <si>
    <t xml:space="preserve">i could not believe it</t>
  </si>
  <si>
    <t xml:space="preserve">my short story got shortlisted in the college magazine contest</t>
  </si>
  <si>
    <t xml:space="preserve">story shortlisted</t>
  </si>
  <si>
    <t xml:space="preserve">feeling quietly proud</t>
  </si>
  <si>
    <t xml:space="preserve">Out of 70 entries mine was one of five</t>
  </si>
  <si>
    <t xml:space="preserve">top five</t>
  </si>
  <si>
    <t xml:space="preserve">my stomach is in knots</t>
  </si>
  <si>
    <t xml:space="preserve">Rent is due tomorrow and my freelance client has not paid yet</t>
  </si>
  <si>
    <t xml:space="preserve">rent due</t>
  </si>
  <si>
    <t xml:space="preserve">so relieved and happy</t>
  </si>
  <si>
    <t xml:space="preserve">the payment notification popped up</t>
  </si>
  <si>
    <t xml:space="preserve">payment received</t>
  </si>
  <si>
    <t xml:space="preserve">i started panicking</t>
  </si>
  <si>
    <t xml:space="preserve">The lift stopped between floors for ten minutes</t>
  </si>
  <si>
    <t xml:space="preserve">stuck in lift</t>
  </si>
  <si>
    <t xml:space="preserve">i was so surprised i forgot to be scared</t>
  </si>
  <si>
    <t xml:space="preserve">there was a person standing there with a cake box</t>
  </si>
  <si>
    <t xml:space="preserve">cake outside lift</t>
  </si>
  <si>
    <t xml:space="preserve">felt so proud i posted it on my story</t>
  </si>
  <si>
    <t xml:space="preserve">I completed my 30 day workout streak without missing a day</t>
  </si>
  <si>
    <t xml:space="preserve">30 day streak</t>
  </si>
  <si>
    <t xml:space="preserve">felt miserable</t>
  </si>
  <si>
    <t xml:space="preserve">my knee gave up and the scan said no running for a month</t>
  </si>
  <si>
    <t xml:space="preserve">Pranav shared his entire notes folder with me and said use whatever you want</t>
  </si>
  <si>
    <t xml:space="preserve">shared notes</t>
  </si>
  <si>
    <t xml:space="preserve">Pranav|PERSON</t>
  </si>
  <si>
    <t xml:space="preserve">the stress hit immediately</t>
  </si>
  <si>
    <t xml:space="preserve">i opened it and saw 600 pages for a paper in 2 days</t>
  </si>
  <si>
    <t xml:space="preserve">too many pages</t>
  </si>
  <si>
    <t xml:space="preserve">so irritated</t>
  </si>
  <si>
    <t xml:space="preserve">The neighbours were drilling at 7 am on a sunday and i could not sleep</t>
  </si>
  <si>
    <t xml:space="preserve">early drilling</t>
  </si>
  <si>
    <t xml:space="preserve">sunday|DATE</t>
  </si>
  <si>
    <t xml:space="preserve">i felt completely fine</t>
  </si>
  <si>
    <t xml:space="preserve">bought a hot jalebi on the way back</t>
  </si>
  <si>
    <t xml:space="preserve">hot jalebi</t>
  </si>
  <si>
    <t xml:space="preserve">Divya showed up at my door with a gift for my promotion</t>
  </si>
  <si>
    <t xml:space="preserve">gift from friend</t>
  </si>
  <si>
    <t xml:space="preserve">Divya|PERSON; last month|DATE</t>
  </si>
  <si>
    <t xml:space="preserve">the guilt came rushing in</t>
  </si>
  <si>
    <t xml:space="preserve">i had skipped her housewarming last month</t>
  </si>
  <si>
    <t xml:space="preserve">skipped housewarming</t>
  </si>
  <si>
    <t xml:space="preserve">i have been jumping around the room since</t>
  </si>
  <si>
    <t xml:space="preserve">I booked a solo trip to Manali, my first ever</t>
  </si>
  <si>
    <t xml:space="preserve">solo trip booked</t>
  </si>
  <si>
    <t xml:space="preserve">Manali|LOCATION</t>
  </si>
  <si>
    <t xml:space="preserve">really worried</t>
  </si>
  <si>
    <t xml:space="preserve">the weather updates about landslides</t>
  </si>
  <si>
    <t xml:space="preserve">landslide warnings</t>
  </si>
  <si>
    <t xml:space="preserve">feeling light and focused</t>
  </si>
  <si>
    <t xml:space="preserve">The library was quiet and i finished two chapters with a hot coffee</t>
  </si>
  <si>
    <t xml:space="preserve">focused study</t>
  </si>
  <si>
    <t xml:space="preserve">my chest tightened</t>
  </si>
  <si>
    <t xml:space="preserve">i have three tests next week and only one set of notes</t>
  </si>
  <si>
    <t xml:space="preserve">three tests coming</t>
  </si>
  <si>
    <t xml:space="preserve">excited about the money</t>
  </si>
  <si>
    <t xml:space="preserve">i got the offer from Amazon but the joining is in Hyderabad</t>
  </si>
  <si>
    <t xml:space="preserve">offer in another city</t>
  </si>
  <si>
    <t xml:space="preserve">Amazon|ORG; Hyderabad|LOCATION</t>
  </si>
  <si>
    <t xml:space="preserve">sad about leaving everyone</t>
  </si>
  <si>
    <t xml:space="preserve">i am overjoyed for her</t>
  </si>
  <si>
    <t xml:space="preserve">Khushi told me she is pregnant</t>
  </si>
  <si>
    <t xml:space="preserve">friend's news</t>
  </si>
  <si>
    <t xml:space="preserve">Khushi|PERSON</t>
  </si>
  <si>
    <t xml:space="preserve">a bit scared about how fast everyone is moving ahead</t>
  </si>
  <si>
    <t xml:space="preserve">i felt proud</t>
  </si>
  <si>
    <t xml:space="preserve">the trek to Kedarkantha was done in five days</t>
  </si>
  <si>
    <t xml:space="preserve">finished trek</t>
  </si>
  <si>
    <t xml:space="preserve">Kedarkantha|LOCATION</t>
  </si>
  <si>
    <t xml:space="preserve">strangely empty on the last evening</t>
  </si>
  <si>
    <t xml:space="preserve">I am shocked</t>
  </si>
  <si>
    <t xml:space="preserve">my screen time report says i spent 9 hours on my phone yesterday</t>
  </si>
  <si>
    <t xml:space="preserve">high screen time</t>
  </si>
  <si>
    <t xml:space="preserve">a bit ashamed</t>
  </si>
  <si>
    <t xml:space="preserve">i felt thrilled</t>
  </si>
  <si>
    <t xml:space="preserve">the rain stopped just as the match began</t>
  </si>
  <si>
    <t xml:space="preserve">rain stopped</t>
  </si>
  <si>
    <t xml:space="preserve">relieved at once</t>
  </si>
  <si>
    <t xml:space="preserve">hurt</t>
  </si>
  <si>
    <t xml:space="preserve">Gauri forgot my birthday completely</t>
  </si>
  <si>
    <t xml:space="preserve">forgotten birthday</t>
  </si>
  <si>
    <t xml:space="preserve">Gauri|PERSON</t>
  </si>
  <si>
    <t xml:space="preserve">angry</t>
  </si>
  <si>
    <t xml:space="preserve">the lab results came back clean</t>
  </si>
  <si>
    <t xml:space="preserve">clean results</t>
  </si>
  <si>
    <t xml:space="preserve">exhausted from all the worrying i did for nothing</t>
  </si>
  <si>
    <t xml:space="preserve">proud of myself today</t>
  </si>
  <si>
    <t xml:space="preserve">honestly overwhelmed right now</t>
  </si>
  <si>
    <t xml:space="preserve">feeling peaceful after tea</t>
  </si>
  <si>
    <t xml:space="preserve">feeling really thankful tonight</t>
  </si>
  <si>
    <t xml:space="preserve">so scared</t>
  </si>
  <si>
    <t xml:space="preserve">Wipro|ORG; Hinjewadi|LOCATION</t>
  </si>
  <si>
    <t xml:space="preserve">Thane|LOCATION</t>
  </si>
  <si>
    <t xml:space="preserve">Today|DATE</t>
  </si>
  <si>
    <t xml:space="preserve">Ishaan|PERSON; Pooja|PERSON</t>
  </si>
  <si>
    <t xml:space="preserve">Pune|LOCATION; Mumbai|LOCATION; IIT Bombay|ORG</t>
  </si>
  <si>
    <t xml:space="preserve">Dataset balance (live formulas)</t>
  </si>
  <si>
    <t xml:space="preserve">Blue = plan targets you can edit. Black = formulas counting the Entries and Pairs sheets.</t>
  </si>
  <si>
    <t xml:space="preserve">Entry structure</t>
  </si>
  <si>
    <t xml:space="preserve">Target</t>
  </si>
  <si>
    <t xml:space="preserve">Actual</t>
  </si>
  <si>
    <t xml:space="preserve">Actual minus target</t>
  </si>
  <si>
    <t xml:space="preserve">Total entries</t>
  </si>
  <si>
    <t xml:space="preserve">Emotion (per pair row)</t>
  </si>
  <si>
    <t xml:space="preserve">Pair rows</t>
  </si>
  <si>
    <t xml:space="preserve">Share of rows</t>
  </si>
  <si>
    <t xml:space="preserve">Total pair rows</t>
  </si>
  <si>
    <t xml:space="preserve">Cause area (per pair row)</t>
  </si>
  <si>
    <t xml:space="preserve">Entry length</t>
  </si>
  <si>
    <t xml:space="preserve">short</t>
  </si>
  <si>
    <t xml:space="preserve">medium</t>
  </si>
  <si>
    <t xml:space="preserve">long</t>
  </si>
  <si>
    <t xml:space="preserve">very long</t>
  </si>
  <si>
    <t xml:space="preserve">Buckets: short under 40 words, medium 40 to 99, long 100 to 200, very long over 200</t>
  </si>
  <si>
    <t xml:space="preserve">Entities (NER)</t>
  </si>
  <si>
    <t xml:space="preserve">Entries with at least one entity</t>
  </si>
  <si>
    <t xml:space="preserve">Entries with a ROLE mention (Mom, my sister...)</t>
  </si>
  <si>
    <t xml:space="preserve">Entries with no entities</t>
  </si>
  <si>
    <t xml:space="preserve">Notes: targets are the plan agreed earlier (structure mix, length mix, 70 percent of entries with entities, 30 percent with role mentions). Emotion and cause-area shares have no fixed target; check they are not dominated by one value.</t>
  </si>
  <si>
    <t xml:space="preserve">Emotion labels (one label per emotion clause)</t>
  </si>
  <si>
    <t xml:space="preserve">label</t>
  </si>
  <si>
    <t xml:space="preserve">meaning</t>
  </si>
  <si>
    <t xml:space="preserve">example clause</t>
  </si>
  <si>
    <t xml:space="preserve">Happiness, excitement, being pleased</t>
  </si>
  <si>
    <t xml:space="preserve">Mild, calm satisfaction</t>
  </si>
  <si>
    <t xml:space="preserve">Pleased with own or others' achievement</t>
  </si>
  <si>
    <t xml:space="preserve">Thankful toward someone or something</t>
  </si>
  <si>
    <t xml:space="preserve">Sadness, disappointment, loneliness, helplessness</t>
  </si>
  <si>
    <t xml:space="preserve">Anger, frustration, irritation, betrayal</t>
  </si>
  <si>
    <t xml:space="preserve">Fear or anxiety about something specific or uncertain; panic</t>
  </si>
  <si>
    <t xml:space="preserve">General overload or pressure, not a specific threat</t>
  </si>
  <si>
    <t xml:space="preserve">Guilt, shame, embarrassment</t>
  </si>
  <si>
    <t xml:space="preserve">Surprised or shocked because something was unexpected</t>
  </si>
  <si>
    <t xml:space="preserve">No feeling stated; a plain log of the day</t>
  </si>
  <si>
    <t xml:space="preserve">(no emotion clause)</t>
  </si>
  <si>
    <t xml:space="preserve">Tie-breakers</t>
  </si>
  <si>
    <t xml:space="preserve">fear vs stress</t>
  </si>
  <si>
    <t xml:space="preserve">Fear points at a specific threat or uncertainty. Stress is general overload.</t>
  </si>
  <si>
    <t xml:space="preserve">joy vs contentment</t>
  </si>
  <si>
    <t xml:space="preserve">Joy is energetic. Contentment is calm.</t>
  </si>
  <si>
    <t xml:space="preserve">sadness vs guilt</t>
  </si>
  <si>
    <t xml:space="preserve">Guilt involves something the writer did wrong or felt embarrassed about.</t>
  </si>
  <si>
    <t xml:space="preserve">surprise vs distress</t>
  </si>
  <si>
    <t xml:space="preserve">If the clause is mainly about something unexpected, use surprise. If it is mainly about distress, use the negative emotion.</t>
  </si>
  <si>
    <t xml:space="preserve">shocked, astonished, taken aback</t>
  </si>
  <si>
    <t xml:space="preserve">All map to surprise. There is no separate shocked label.</t>
  </si>
  <si>
    <t xml:space="preserve">Cause area (aspect)</t>
  </si>
  <si>
    <t xml:space="preserve">College, exams, assignments, jobs, interviews, projects</t>
  </si>
  <si>
    <t xml:space="preserve">Fitness, sleep, illness, medical visits</t>
  </si>
  <si>
    <t xml:space="preserve">Parents, siblings, relatives, home</t>
  </si>
  <si>
    <t xml:space="preserve">Friends, roommates, neighbours, classmates</t>
  </si>
  <si>
    <t xml:space="preserve">Romantic partner</t>
  </si>
  <si>
    <t xml:space="preserve">Habits, identity, motivation, memories, personal milestones</t>
  </si>
  <si>
    <t xml:space="preserve">Rent, fees, stipend, bills, purchases</t>
  </si>
  <si>
    <t xml:space="preserve">Commute, lost items, everyday events that fit nothing above</t>
  </si>
  <si>
    <t xml:space="preserve">No cause stated, or cause is implicit</t>
  </si>
  <si>
    <t xml:space="preserve">Entity types (ner column, format text|TYPE separated by semicolons)</t>
  </si>
  <si>
    <t xml:space="preserve">PERSON</t>
  </si>
  <si>
    <t xml:space="preserve">Named people: Raj, Neha, Prof. Mehta</t>
  </si>
  <si>
    <t xml:space="preserve">ROLE</t>
  </si>
  <si>
    <t xml:space="preserve">A single person referred to by role or kinship: Mom, Dadi, My sister, my cousin, The doctor, Sir. Plural groups (my friends, relatives) are not tagged.</t>
  </si>
  <si>
    <t xml:space="preserve">LOCATION</t>
  </si>
  <si>
    <t xml:space="preserve">Named places only: Pune, Nagpur, US. Generic places (library, canteen, home, college) are not tagged.</t>
  </si>
  <si>
    <t xml:space="preserve">ORG</t>
  </si>
  <si>
    <t xml:space="preserve">Named organisations: TCS, Infosys, COEP. Generic words like college are not tagged.</t>
  </si>
  <si>
    <t xml:space="preserve">DATE</t>
  </si>
  <si>
    <t xml:space="preserve">Explicit time references: today, tonight, last night, this morning, Friday, March, next week. Bare words like morning or evening, and durations like two hours, are not tagged.</t>
  </si>
  <si>
    <t xml:space="preserve">Write none when the entry has no entities. Blank always means not yet annotated.</t>
  </si>
  <si>
    <t xml:space="preserve">Row conventions</t>
  </si>
  <si>
    <t xml:space="preserve">Copy exactly</t>
  </si>
  <si>
    <t xml:space="preserve">emotion_clause, cause_clause and entity text are copied exactly from the entry, including typos.</t>
  </si>
  <si>
    <t xml:space="preserve">Implicit cause</t>
  </si>
  <si>
    <t xml:space="preserve">cause_clause = implicit, cause = unknown, aspect = none.</t>
  </si>
  <si>
    <t xml:space="preserve">Emotion only</t>
  </si>
  <si>
    <t xml:space="preserve">cause_clause left empty, cause = none, aspect = none.</t>
  </si>
  <si>
    <t xml:space="preserve">No emotion</t>
  </si>
  <si>
    <t xml:space="preserve">emotion_clause left empty, emotion = neutral, cause_clause empty.</t>
  </si>
  <si>
    <t xml:space="preserve">ner column</t>
  </si>
  <si>
    <t xml:space="preserve">Filled on the first row of an entry. Later rows of the same entry say same.</t>
  </si>
  <si>
    <t xml:space="preserve">Shared cause</t>
  </si>
  <si>
    <t xml:space="preserve">When one cause triggers two emotions, both rows repeat the same cause_clause.</t>
  </si>
  <si>
    <t xml:space="preserve">Language</t>
  </si>
  <si>
    <t xml:space="preserve">English with a few Indian kinship terms (Maa, Dadi, Nani, Papa, Mummy, Aunty). Heavier code-mixing (Hinglish) is not included. Decide as a team whether to add it.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</si>
</sst>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3" t="s">
        <v>6</v>
      </c>
    </row>
    <row r="11" customFormat="false" ht="15" hidden="false" customHeight="false" outlineLevel="0" collapsed="false">
      <c r="A11" s="2" t="s">
        <v>7</v>
      </c>
    </row>
    <row r="12" customFormat="false" ht="23.85" hidden="false" customHeight="false" outlineLevel="0" collapsed="false">
      <c r="A12" s="2" t="s">
        <v>8</v>
      </c>
    </row>
    <row r="13" customFormat="false" ht="15" hidden="false" customHeight="false" outlineLevel="0" collapsed="false">
      <c r="A13" s="2" t="s">
        <v>9</v>
      </c>
    </row>
    <row r="14" customFormat="false" ht="23.8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3.8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1"/>
    <col collapsed="false" customWidth="true" hidden="false" outlineLevel="0" max="4" min="4" style="0" width="90"/>
    <col collapsed="false" customWidth="true" hidden="false" outlineLevel="0" max="5" min="5" style="0" width="22"/>
    <col collapsed="false" customWidth="true" hidden="false" outlineLevel="0" max="6" min="6" style="0" width="26"/>
    <col collapsed="false" customWidth="true" hidden="false" outlineLevel="0" max="7" min="7" style="0" width="13"/>
    <col collapsed="false" customWidth="true" hidden="false" outlineLevel="0" max="8" min="8" style="0" width="14"/>
    <col collapsed="false" customWidth="true" hidden="false" outlineLevel="0" max="9" min="9" style="0" width="28"/>
    <col collapsed="false" customWidth="true" hidden="false" outlineLevel="0" max="10" min="10" style="0" width="8"/>
  </cols>
  <sheetData>
    <row r="1" customFormat="false" ht="23.85" hidden="false" customHeight="false" outlineLevel="0" collapsed="false">
      <c r="A1" s="4" t="s">
        <v>13</v>
      </c>
      <c r="B1" s="4" t="s">
        <v>14</v>
      </c>
      <c r="C1" s="4" t="s">
        <v>15</v>
      </c>
      <c r="D1" s="4" t="s">
        <v>16</v>
      </c>
      <c r="E1" s="4" t="s">
        <v>17</v>
      </c>
      <c r="F1" s="4" t="s">
        <v>18</v>
      </c>
      <c r="G1" s="4" t="s">
        <v>19</v>
      </c>
      <c r="H1" s="4" t="s">
        <v>20</v>
      </c>
      <c r="I1" s="4" t="s">
        <v>21</v>
      </c>
      <c r="J1" s="4" t="s">
        <v>22</v>
      </c>
    </row>
    <row r="2" customFormat="false" ht="23.85" hidden="false" customHeight="false" outlineLevel="0" collapsed="false">
      <c r="A2" s="5" t="s">
        <v>23</v>
      </c>
      <c r="B2" s="5" t="s">
        <v>24</v>
      </c>
      <c r="C2" s="5" t="s">
        <v>25</v>
      </c>
      <c r="D2" s="5" t="s">
        <v>26</v>
      </c>
      <c r="E2" s="5" t="s">
        <v>27</v>
      </c>
      <c r="F2" s="5" t="s">
        <v>28</v>
      </c>
      <c r="G2" s="5" t="n">
        <f aca="false">LEN(TRIM(D2))-LEN(SUBSTITUTE(TRIM(D2)," ",""))+1</f>
        <v>37</v>
      </c>
      <c r="H2" s="5" t="str">
        <f aca="false">IF(G2&lt;40,"short",IF(G2&lt;100,"medium",IF(G2&lt;=200,"long","very long")))</f>
        <v>short</v>
      </c>
      <c r="I2" s="5" t="s">
        <v>29</v>
      </c>
      <c r="J2" s="5" t="n">
        <v>1</v>
      </c>
    </row>
    <row r="3" customFormat="false" ht="57.45" hidden="false" customHeight="false" outlineLevel="0" collapsed="false">
      <c r="A3" s="5" t="s">
        <v>30</v>
      </c>
      <c r="B3" s="5" t="s">
        <v>24</v>
      </c>
      <c r="C3" s="5" t="s">
        <v>25</v>
      </c>
      <c r="D3" s="5" t="s">
        <v>31</v>
      </c>
      <c r="E3" s="5" t="s">
        <v>32</v>
      </c>
      <c r="F3" s="5" t="s">
        <v>28</v>
      </c>
      <c r="G3" s="5" t="n">
        <f aca="false">LEN(TRIM(D3))-LEN(SUBSTITUTE(TRIM(D3)," ",""))+1</f>
        <v>106</v>
      </c>
      <c r="H3" s="5" t="str">
        <f aca="false">IF(G3&lt;40,"short",IF(G3&lt;100,"medium",IF(G3&lt;=200,"long","very long")))</f>
        <v>long</v>
      </c>
      <c r="I3" s="5" t="s">
        <v>29</v>
      </c>
      <c r="J3" s="5" t="n">
        <v>1</v>
      </c>
    </row>
    <row r="4" customFormat="false" ht="35.05" hidden="false" customHeight="false" outlineLevel="0" collapsed="false">
      <c r="A4" s="5" t="s">
        <v>33</v>
      </c>
      <c r="B4" s="5" t="s">
        <v>24</v>
      </c>
      <c r="C4" s="5" t="s">
        <v>25</v>
      </c>
      <c r="D4" s="5" t="s">
        <v>34</v>
      </c>
      <c r="E4" s="5" t="s">
        <v>35</v>
      </c>
      <c r="F4" s="5" t="s">
        <v>28</v>
      </c>
      <c r="G4" s="5" t="n">
        <f aca="false">LEN(TRIM(D4))-LEN(SUBSTITUTE(TRIM(D4)," ",""))+1</f>
        <v>60</v>
      </c>
      <c r="H4" s="5" t="str">
        <f aca="false">IF(G4&lt;40,"short",IF(G4&lt;100,"medium",IF(G4&lt;=200,"long","very long")))</f>
        <v>medium</v>
      </c>
      <c r="I4" s="5" t="s">
        <v>29</v>
      </c>
      <c r="J4" s="5" t="n">
        <v>1</v>
      </c>
    </row>
    <row r="5" customFormat="false" ht="57.45" hidden="false" customHeight="false" outlineLevel="0" collapsed="false">
      <c r="A5" s="5" t="s">
        <v>36</v>
      </c>
      <c r="B5" s="5" t="s">
        <v>24</v>
      </c>
      <c r="C5" s="5" t="s">
        <v>25</v>
      </c>
      <c r="D5" s="5" t="s">
        <v>37</v>
      </c>
      <c r="E5" s="5" t="s">
        <v>38</v>
      </c>
      <c r="F5" s="5" t="s">
        <v>28</v>
      </c>
      <c r="G5" s="5" t="n">
        <f aca="false">LEN(TRIM(D5))-LEN(SUBSTITUTE(TRIM(D5)," ",""))+1</f>
        <v>93</v>
      </c>
      <c r="H5" s="5" t="str">
        <f aca="false">IF(G5&lt;40,"short",IF(G5&lt;100,"medium",IF(G5&lt;=200,"long","very long")))</f>
        <v>medium</v>
      </c>
      <c r="I5" s="5" t="s">
        <v>29</v>
      </c>
      <c r="J5" s="5" t="n">
        <v>1</v>
      </c>
    </row>
    <row r="6" customFormat="false" ht="57.45" hidden="false" customHeight="false" outlineLevel="0" collapsed="false">
      <c r="A6" s="5" t="s">
        <v>39</v>
      </c>
      <c r="B6" s="5" t="s">
        <v>24</v>
      </c>
      <c r="C6" s="5" t="s">
        <v>25</v>
      </c>
      <c r="D6" s="5" t="s">
        <v>40</v>
      </c>
      <c r="E6" s="5" t="s">
        <v>35</v>
      </c>
      <c r="F6" s="5" t="s">
        <v>28</v>
      </c>
      <c r="G6" s="5" t="n">
        <f aca="false">LEN(TRIM(D6))-LEN(SUBSTITUTE(TRIM(D6)," ",""))+1</f>
        <v>102</v>
      </c>
      <c r="H6" s="5" t="str">
        <f aca="false">IF(G6&lt;40,"short",IF(G6&lt;100,"medium",IF(G6&lt;=200,"long","very long")))</f>
        <v>long</v>
      </c>
      <c r="I6" s="5" t="s">
        <v>29</v>
      </c>
      <c r="J6" s="5" t="n">
        <v>1</v>
      </c>
    </row>
    <row r="7" customFormat="false" ht="23.85" hidden="false" customHeight="false" outlineLevel="0" collapsed="false">
      <c r="A7" s="5" t="s">
        <v>41</v>
      </c>
      <c r="B7" s="5" t="s">
        <v>24</v>
      </c>
      <c r="C7" s="5" t="s">
        <v>25</v>
      </c>
      <c r="D7" s="5" t="s">
        <v>42</v>
      </c>
      <c r="E7" s="5" t="s">
        <v>43</v>
      </c>
      <c r="F7" s="5" t="s">
        <v>28</v>
      </c>
      <c r="G7" s="5" t="n">
        <f aca="false">LEN(TRIM(D7))-LEN(SUBSTITUTE(TRIM(D7)," ",""))+1</f>
        <v>36</v>
      </c>
      <c r="H7" s="5" t="str">
        <f aca="false">IF(G7&lt;40,"short",IF(G7&lt;100,"medium",IF(G7&lt;=200,"long","very long")))</f>
        <v>short</v>
      </c>
      <c r="I7" s="5" t="s">
        <v>29</v>
      </c>
      <c r="J7" s="5" t="n">
        <v>1</v>
      </c>
    </row>
    <row r="8" customFormat="false" ht="35.05" hidden="false" customHeight="false" outlineLevel="0" collapsed="false">
      <c r="A8" s="5" t="s">
        <v>44</v>
      </c>
      <c r="B8" s="5" t="s">
        <v>24</v>
      </c>
      <c r="C8" s="5" t="s">
        <v>25</v>
      </c>
      <c r="D8" s="5" t="s">
        <v>45</v>
      </c>
      <c r="E8" s="5" t="s">
        <v>46</v>
      </c>
      <c r="F8" s="5" t="s">
        <v>28</v>
      </c>
      <c r="G8" s="5" t="n">
        <f aca="false">LEN(TRIM(D8))-LEN(SUBSTITUTE(TRIM(D8)," ",""))+1</f>
        <v>48</v>
      </c>
      <c r="H8" s="5" t="str">
        <f aca="false">IF(G8&lt;40,"short",IF(G8&lt;100,"medium",IF(G8&lt;=200,"long","very long")))</f>
        <v>medium</v>
      </c>
      <c r="I8" s="5" t="s">
        <v>29</v>
      </c>
      <c r="J8" s="5" t="n">
        <v>1</v>
      </c>
    </row>
    <row r="9" customFormat="false" ht="35.05" hidden="false" customHeight="false" outlineLevel="0" collapsed="false">
      <c r="A9" s="5" t="s">
        <v>47</v>
      </c>
      <c r="B9" s="5" t="s">
        <v>24</v>
      </c>
      <c r="C9" s="5" t="s">
        <v>25</v>
      </c>
      <c r="D9" s="5" t="s">
        <v>48</v>
      </c>
      <c r="E9" s="5" t="s">
        <v>49</v>
      </c>
      <c r="F9" s="5" t="s">
        <v>28</v>
      </c>
      <c r="G9" s="5" t="n">
        <f aca="false">LEN(TRIM(D9))-LEN(SUBSTITUTE(TRIM(D9)," ",""))+1</f>
        <v>45</v>
      </c>
      <c r="H9" s="5" t="str">
        <f aca="false">IF(G9&lt;40,"short",IF(G9&lt;100,"medium",IF(G9&lt;=200,"long","very long")))</f>
        <v>medium</v>
      </c>
      <c r="I9" s="5" t="s">
        <v>29</v>
      </c>
      <c r="J9" s="5" t="n">
        <v>1</v>
      </c>
    </row>
    <row r="10" customFormat="false" ht="68.65" hidden="false" customHeight="false" outlineLevel="0" collapsed="false">
      <c r="A10" s="5" t="s">
        <v>50</v>
      </c>
      <c r="B10" s="5" t="s">
        <v>24</v>
      </c>
      <c r="C10" s="5" t="s">
        <v>25</v>
      </c>
      <c r="D10" s="5" t="s">
        <v>51</v>
      </c>
      <c r="E10" s="5" t="s">
        <v>43</v>
      </c>
      <c r="F10" s="5" t="s">
        <v>28</v>
      </c>
      <c r="G10" s="5" t="n">
        <f aca="false">LEN(TRIM(D10))-LEN(SUBSTITUTE(TRIM(D10)," ",""))+1</f>
        <v>108</v>
      </c>
      <c r="H10" s="5" t="str">
        <f aca="false">IF(G10&lt;40,"short",IF(G10&lt;100,"medium",IF(G10&lt;=200,"long","very long")))</f>
        <v>long</v>
      </c>
      <c r="I10" s="5" t="s">
        <v>29</v>
      </c>
      <c r="J10" s="5" t="n">
        <v>1</v>
      </c>
    </row>
    <row r="11" customFormat="false" ht="57.45" hidden="false" customHeight="false" outlineLevel="0" collapsed="false">
      <c r="A11" s="5" t="s">
        <v>52</v>
      </c>
      <c r="B11" s="5" t="s">
        <v>24</v>
      </c>
      <c r="C11" s="5" t="s">
        <v>25</v>
      </c>
      <c r="D11" s="5" t="s">
        <v>53</v>
      </c>
      <c r="E11" s="5" t="s">
        <v>54</v>
      </c>
      <c r="F11" s="5" t="s">
        <v>28</v>
      </c>
      <c r="G11" s="5" t="n">
        <f aca="false">LEN(TRIM(D11))-LEN(SUBSTITUTE(TRIM(D11)," ",""))+1</f>
        <v>107</v>
      </c>
      <c r="H11" s="5" t="str">
        <f aca="false">IF(G11&lt;40,"short",IF(G11&lt;100,"medium",IF(G11&lt;=200,"long","very long")))</f>
        <v>long</v>
      </c>
      <c r="I11" s="5" t="s">
        <v>29</v>
      </c>
      <c r="J11" s="5" t="n">
        <v>1</v>
      </c>
    </row>
    <row r="12" customFormat="false" ht="46.25" hidden="false" customHeight="false" outlineLevel="0" collapsed="false">
      <c r="A12" s="5" t="s">
        <v>55</v>
      </c>
      <c r="B12" s="5" t="s">
        <v>24</v>
      </c>
      <c r="C12" s="5" t="s">
        <v>25</v>
      </c>
      <c r="D12" s="5" t="s">
        <v>56</v>
      </c>
      <c r="E12" s="5" t="s">
        <v>32</v>
      </c>
      <c r="F12" s="5" t="s">
        <v>28</v>
      </c>
      <c r="G12" s="5" t="n">
        <f aca="false">LEN(TRIM(D12))-LEN(SUBSTITUTE(TRIM(D12)," ",""))+1</f>
        <v>71</v>
      </c>
      <c r="H12" s="5" t="str">
        <f aca="false">IF(G12&lt;40,"short",IF(G12&lt;100,"medium",IF(G12&lt;=200,"long","very long")))</f>
        <v>medium</v>
      </c>
      <c r="I12" s="5" t="s">
        <v>29</v>
      </c>
      <c r="J12" s="5" t="n">
        <v>1</v>
      </c>
    </row>
    <row r="13" customFormat="false" ht="35.05" hidden="false" customHeight="false" outlineLevel="0" collapsed="false">
      <c r="A13" s="5" t="s">
        <v>57</v>
      </c>
      <c r="B13" s="5" t="s">
        <v>24</v>
      </c>
      <c r="C13" s="5" t="s">
        <v>25</v>
      </c>
      <c r="D13" s="5" t="s">
        <v>58</v>
      </c>
      <c r="E13" s="5" t="s">
        <v>35</v>
      </c>
      <c r="F13" s="5" t="s">
        <v>28</v>
      </c>
      <c r="G13" s="5" t="n">
        <f aca="false">LEN(TRIM(D13))-LEN(SUBSTITUTE(TRIM(D13)," ",""))+1</f>
        <v>58</v>
      </c>
      <c r="H13" s="5" t="str">
        <f aca="false">IF(G13&lt;40,"short",IF(G13&lt;100,"medium",IF(G13&lt;=200,"long","very long")))</f>
        <v>medium</v>
      </c>
      <c r="I13" s="5" t="s">
        <v>29</v>
      </c>
      <c r="J13" s="5" t="n">
        <v>1</v>
      </c>
    </row>
    <row r="14" customFormat="false" ht="23.85" hidden="false" customHeight="false" outlineLevel="0" collapsed="false">
      <c r="A14" s="5" t="s">
        <v>59</v>
      </c>
      <c r="B14" s="5" t="s">
        <v>24</v>
      </c>
      <c r="C14" s="5" t="s">
        <v>25</v>
      </c>
      <c r="D14" s="5" t="s">
        <v>60</v>
      </c>
      <c r="E14" s="5" t="s">
        <v>32</v>
      </c>
      <c r="F14" s="5" t="s">
        <v>28</v>
      </c>
      <c r="G14" s="5" t="n">
        <f aca="false">LEN(TRIM(D14))-LEN(SUBSTITUTE(TRIM(D14)," ",""))+1</f>
        <v>35</v>
      </c>
      <c r="H14" s="5" t="str">
        <f aca="false">IF(G14&lt;40,"short",IF(G14&lt;100,"medium",IF(G14&lt;=200,"long","very long")))</f>
        <v>short</v>
      </c>
      <c r="I14" s="5" t="s">
        <v>29</v>
      </c>
      <c r="J14" s="5" t="n">
        <v>1</v>
      </c>
    </row>
    <row r="15" customFormat="false" ht="57.45" hidden="false" customHeight="false" outlineLevel="0" collapsed="false">
      <c r="A15" s="5" t="s">
        <v>61</v>
      </c>
      <c r="B15" s="5" t="s">
        <v>24</v>
      </c>
      <c r="C15" s="5" t="s">
        <v>25</v>
      </c>
      <c r="D15" s="5" t="s">
        <v>62</v>
      </c>
      <c r="E15" s="5" t="s">
        <v>43</v>
      </c>
      <c r="F15" s="5" t="s">
        <v>28</v>
      </c>
      <c r="G15" s="5" t="n">
        <f aca="false">LEN(TRIM(D15))-LEN(SUBSTITUTE(TRIM(D15)," ",""))+1</f>
        <v>89</v>
      </c>
      <c r="H15" s="5" t="str">
        <f aca="false">IF(G15&lt;40,"short",IF(G15&lt;100,"medium",IF(G15&lt;=200,"long","very long")))</f>
        <v>medium</v>
      </c>
      <c r="I15" s="5" t="s">
        <v>29</v>
      </c>
      <c r="J15" s="5" t="n">
        <v>1</v>
      </c>
    </row>
    <row r="16" customFormat="false" ht="23.85" hidden="false" customHeight="false" outlineLevel="0" collapsed="false">
      <c r="A16" s="5" t="s">
        <v>63</v>
      </c>
      <c r="B16" s="5" t="s">
        <v>24</v>
      </c>
      <c r="C16" s="5" t="s">
        <v>25</v>
      </c>
      <c r="D16" s="5" t="s">
        <v>64</v>
      </c>
      <c r="E16" s="5" t="s">
        <v>27</v>
      </c>
      <c r="F16" s="5" t="s">
        <v>28</v>
      </c>
      <c r="G16" s="5" t="n">
        <f aca="false">LEN(TRIM(D16))-LEN(SUBSTITUTE(TRIM(D16)," ",""))+1</f>
        <v>39</v>
      </c>
      <c r="H16" s="5" t="str">
        <f aca="false">IF(G16&lt;40,"short",IF(G16&lt;100,"medium",IF(G16&lt;=200,"long","very long")))</f>
        <v>short</v>
      </c>
      <c r="I16" s="5" t="s">
        <v>29</v>
      </c>
      <c r="J16" s="5" t="n">
        <v>1</v>
      </c>
    </row>
    <row r="17" customFormat="false" ht="23.85" hidden="false" customHeight="false" outlineLevel="0" collapsed="false">
      <c r="A17" s="5" t="s">
        <v>65</v>
      </c>
      <c r="B17" s="5" t="s">
        <v>24</v>
      </c>
      <c r="C17" s="5" t="s">
        <v>25</v>
      </c>
      <c r="D17" s="5" t="s">
        <v>66</v>
      </c>
      <c r="E17" s="5" t="s">
        <v>67</v>
      </c>
      <c r="F17" s="5" t="s">
        <v>28</v>
      </c>
      <c r="G17" s="5" t="n">
        <f aca="false">LEN(TRIM(D17))-LEN(SUBSTITUTE(TRIM(D17)," ",""))+1</f>
        <v>38</v>
      </c>
      <c r="H17" s="5" t="str">
        <f aca="false">IF(G17&lt;40,"short",IF(G17&lt;100,"medium",IF(G17&lt;=200,"long","very long")))</f>
        <v>short</v>
      </c>
      <c r="I17" s="5" t="s">
        <v>29</v>
      </c>
      <c r="J17" s="5" t="n">
        <v>1</v>
      </c>
    </row>
    <row r="18" customFormat="false" ht="35.05" hidden="false" customHeight="false" outlineLevel="0" collapsed="false">
      <c r="A18" s="5" t="s">
        <v>68</v>
      </c>
      <c r="B18" s="5" t="s">
        <v>24</v>
      </c>
      <c r="C18" s="5" t="s">
        <v>25</v>
      </c>
      <c r="D18" s="5" t="s">
        <v>69</v>
      </c>
      <c r="E18" s="5" t="s">
        <v>67</v>
      </c>
      <c r="F18" s="5" t="s">
        <v>28</v>
      </c>
      <c r="G18" s="5" t="n">
        <f aca="false">LEN(TRIM(D18))-LEN(SUBSTITUTE(TRIM(D18)," ",""))+1</f>
        <v>55</v>
      </c>
      <c r="H18" s="5" t="str">
        <f aca="false">IF(G18&lt;40,"short",IF(G18&lt;100,"medium",IF(G18&lt;=200,"long","very long")))</f>
        <v>medium</v>
      </c>
      <c r="I18" s="5" t="s">
        <v>29</v>
      </c>
      <c r="J18" s="5" t="n">
        <v>1</v>
      </c>
    </row>
    <row r="19" customFormat="false" ht="23.85" hidden="false" customHeight="false" outlineLevel="0" collapsed="false">
      <c r="A19" s="5" t="s">
        <v>70</v>
      </c>
      <c r="B19" s="5" t="s">
        <v>24</v>
      </c>
      <c r="C19" s="5" t="s">
        <v>25</v>
      </c>
      <c r="D19" s="5" t="s">
        <v>71</v>
      </c>
      <c r="E19" s="5" t="s">
        <v>38</v>
      </c>
      <c r="F19" s="5" t="s">
        <v>28</v>
      </c>
      <c r="G19" s="5" t="n">
        <f aca="false">LEN(TRIM(D19))-LEN(SUBSTITUTE(TRIM(D19)," ",""))+1</f>
        <v>38</v>
      </c>
      <c r="H19" s="5" t="str">
        <f aca="false">IF(G19&lt;40,"short",IF(G19&lt;100,"medium",IF(G19&lt;=200,"long","very long")))</f>
        <v>short</v>
      </c>
      <c r="I19" s="5" t="s">
        <v>29</v>
      </c>
      <c r="J19" s="5" t="n">
        <v>1</v>
      </c>
    </row>
    <row r="20" customFormat="false" ht="35.05" hidden="false" customHeight="false" outlineLevel="0" collapsed="false">
      <c r="A20" s="5" t="s">
        <v>72</v>
      </c>
      <c r="B20" s="5" t="s">
        <v>24</v>
      </c>
      <c r="C20" s="5" t="s">
        <v>25</v>
      </c>
      <c r="D20" s="5" t="s">
        <v>73</v>
      </c>
      <c r="E20" s="5" t="s">
        <v>38</v>
      </c>
      <c r="F20" s="5" t="s">
        <v>28</v>
      </c>
      <c r="G20" s="5" t="n">
        <f aca="false">LEN(TRIM(D20))-LEN(SUBSTITUTE(TRIM(D20)," ",""))+1</f>
        <v>52</v>
      </c>
      <c r="H20" s="5" t="str">
        <f aca="false">IF(G20&lt;40,"short",IF(G20&lt;100,"medium",IF(G20&lt;=200,"long","very long")))</f>
        <v>medium</v>
      </c>
      <c r="I20" s="5" t="s">
        <v>29</v>
      </c>
      <c r="J20" s="5" t="n">
        <v>1</v>
      </c>
    </row>
    <row r="21" customFormat="false" ht="68.65" hidden="false" customHeight="false" outlineLevel="0" collapsed="false">
      <c r="A21" s="5" t="s">
        <v>74</v>
      </c>
      <c r="B21" s="5" t="s">
        <v>24</v>
      </c>
      <c r="C21" s="5" t="s">
        <v>25</v>
      </c>
      <c r="D21" s="5" t="s">
        <v>75</v>
      </c>
      <c r="E21" s="5" t="s">
        <v>49</v>
      </c>
      <c r="F21" s="5" t="s">
        <v>28</v>
      </c>
      <c r="G21" s="5" t="n">
        <f aca="false">LEN(TRIM(D21))-LEN(SUBSTITUTE(TRIM(D21)," ",""))+1</f>
        <v>115</v>
      </c>
      <c r="H21" s="5" t="str">
        <f aca="false">IF(G21&lt;40,"short",IF(G21&lt;100,"medium",IF(G21&lt;=200,"long","very long")))</f>
        <v>long</v>
      </c>
      <c r="I21" s="5" t="s">
        <v>29</v>
      </c>
      <c r="J21" s="5" t="n">
        <v>1</v>
      </c>
    </row>
    <row r="22" customFormat="false" ht="23.85" hidden="false" customHeight="false" outlineLevel="0" collapsed="false">
      <c r="A22" s="5" t="s">
        <v>76</v>
      </c>
      <c r="B22" s="5" t="s">
        <v>24</v>
      </c>
      <c r="C22" s="5" t="s">
        <v>25</v>
      </c>
      <c r="D22" s="5" t="s">
        <v>77</v>
      </c>
      <c r="E22" s="5" t="s">
        <v>49</v>
      </c>
      <c r="F22" s="5" t="s">
        <v>28</v>
      </c>
      <c r="G22" s="5" t="n">
        <f aca="false">LEN(TRIM(D22))-LEN(SUBSTITUTE(TRIM(D22)," ",""))+1</f>
        <v>35</v>
      </c>
      <c r="H22" s="5" t="str">
        <f aca="false">IF(G22&lt;40,"short",IF(G22&lt;100,"medium",IF(G22&lt;=200,"long","very long")))</f>
        <v>short</v>
      </c>
      <c r="I22" s="5" t="s">
        <v>29</v>
      </c>
      <c r="J22" s="5" t="n">
        <v>1</v>
      </c>
    </row>
    <row r="23" customFormat="false" ht="35.05" hidden="false" customHeight="false" outlineLevel="0" collapsed="false">
      <c r="A23" s="5" t="s">
        <v>78</v>
      </c>
      <c r="B23" s="5" t="s">
        <v>24</v>
      </c>
      <c r="C23" s="5" t="s">
        <v>25</v>
      </c>
      <c r="D23" s="5" t="s">
        <v>79</v>
      </c>
      <c r="E23" s="5" t="s">
        <v>80</v>
      </c>
      <c r="F23" s="5" t="s">
        <v>28</v>
      </c>
      <c r="G23" s="5" t="n">
        <f aca="false">LEN(TRIM(D23))-LEN(SUBSTITUTE(TRIM(D23)," ",""))+1</f>
        <v>53</v>
      </c>
      <c r="H23" s="5" t="str">
        <f aca="false">IF(G23&lt;40,"short",IF(G23&lt;100,"medium",IF(G23&lt;=200,"long","very long")))</f>
        <v>medium</v>
      </c>
      <c r="I23" s="5" t="s">
        <v>29</v>
      </c>
      <c r="J23" s="5" t="n">
        <v>1</v>
      </c>
    </row>
    <row r="24" customFormat="false" ht="68.65" hidden="false" customHeight="false" outlineLevel="0" collapsed="false">
      <c r="A24" s="5" t="s">
        <v>81</v>
      </c>
      <c r="B24" s="5" t="s">
        <v>24</v>
      </c>
      <c r="C24" s="5" t="s">
        <v>25</v>
      </c>
      <c r="D24" s="5" t="s">
        <v>82</v>
      </c>
      <c r="E24" s="5" t="s">
        <v>46</v>
      </c>
      <c r="F24" s="5" t="s">
        <v>28</v>
      </c>
      <c r="G24" s="5" t="n">
        <f aca="false">LEN(TRIM(D24))-LEN(SUBSTITUTE(TRIM(D24)," ",""))+1</f>
        <v>109</v>
      </c>
      <c r="H24" s="5" t="str">
        <f aca="false">IF(G24&lt;40,"short",IF(G24&lt;100,"medium",IF(G24&lt;=200,"long","very long")))</f>
        <v>long</v>
      </c>
      <c r="I24" s="5" t="s">
        <v>29</v>
      </c>
      <c r="J24" s="5" t="n">
        <v>1</v>
      </c>
    </row>
    <row r="25" customFormat="false" ht="23.85" hidden="false" customHeight="false" outlineLevel="0" collapsed="false">
      <c r="A25" s="5" t="s">
        <v>83</v>
      </c>
      <c r="B25" s="5" t="s">
        <v>24</v>
      </c>
      <c r="C25" s="5" t="s">
        <v>25</v>
      </c>
      <c r="D25" s="5" t="s">
        <v>84</v>
      </c>
      <c r="E25" s="5" t="s">
        <v>54</v>
      </c>
      <c r="F25" s="5" t="s">
        <v>28</v>
      </c>
      <c r="G25" s="5" t="n">
        <f aca="false">LEN(TRIM(D25))-LEN(SUBSTITUTE(TRIM(D25)," ",""))+1</f>
        <v>35</v>
      </c>
      <c r="H25" s="5" t="str">
        <f aca="false">IF(G25&lt;40,"short",IF(G25&lt;100,"medium",IF(G25&lt;=200,"long","very long")))</f>
        <v>short</v>
      </c>
      <c r="I25" s="5" t="s">
        <v>29</v>
      </c>
      <c r="J25" s="5" t="n">
        <v>1</v>
      </c>
    </row>
    <row r="26" customFormat="false" ht="35.05" hidden="false" customHeight="false" outlineLevel="0" collapsed="false">
      <c r="A26" s="5" t="s">
        <v>85</v>
      </c>
      <c r="B26" s="5" t="s">
        <v>24</v>
      </c>
      <c r="C26" s="5" t="s">
        <v>25</v>
      </c>
      <c r="D26" s="5" t="s">
        <v>86</v>
      </c>
      <c r="E26" s="5" t="s">
        <v>43</v>
      </c>
      <c r="F26" s="5" t="s">
        <v>28</v>
      </c>
      <c r="G26" s="5" t="n">
        <f aca="false">LEN(TRIM(D26))-LEN(SUBSTITUTE(TRIM(D26)," ",""))+1</f>
        <v>55</v>
      </c>
      <c r="H26" s="5" t="str">
        <f aca="false">IF(G26&lt;40,"short",IF(G26&lt;100,"medium",IF(G26&lt;=200,"long","very long")))</f>
        <v>medium</v>
      </c>
      <c r="I26" s="5" t="s">
        <v>29</v>
      </c>
      <c r="J26" s="5" t="n">
        <v>1</v>
      </c>
    </row>
    <row r="27" customFormat="false" ht="23.85" hidden="false" customHeight="false" outlineLevel="0" collapsed="false">
      <c r="A27" s="5" t="s">
        <v>87</v>
      </c>
      <c r="B27" s="5" t="s">
        <v>24</v>
      </c>
      <c r="C27" s="5" t="s">
        <v>25</v>
      </c>
      <c r="D27" s="5" t="s">
        <v>88</v>
      </c>
      <c r="E27" s="5" t="s">
        <v>27</v>
      </c>
      <c r="F27" s="5" t="s">
        <v>89</v>
      </c>
      <c r="G27" s="5" t="n">
        <f aca="false">LEN(TRIM(D27))-LEN(SUBSTITUTE(TRIM(D27)," ",""))+1</f>
        <v>37</v>
      </c>
      <c r="H27" s="5" t="str">
        <f aca="false">IF(G27&lt;40,"short",IF(G27&lt;100,"medium",IF(G27&lt;=200,"long","very long")))</f>
        <v>short</v>
      </c>
      <c r="I27" s="5" t="s">
        <v>29</v>
      </c>
      <c r="J27" s="5" t="n">
        <v>1</v>
      </c>
    </row>
    <row r="28" customFormat="false" ht="23.85" hidden="false" customHeight="false" outlineLevel="0" collapsed="false">
      <c r="A28" s="5" t="s">
        <v>90</v>
      </c>
      <c r="B28" s="5" t="s">
        <v>24</v>
      </c>
      <c r="C28" s="5" t="s">
        <v>25</v>
      </c>
      <c r="D28" s="5" t="s">
        <v>91</v>
      </c>
      <c r="E28" s="5" t="s">
        <v>49</v>
      </c>
      <c r="F28" s="5" t="s">
        <v>89</v>
      </c>
      <c r="G28" s="5" t="n">
        <f aca="false">LEN(TRIM(D28))-LEN(SUBSTITUTE(TRIM(D28)," ",""))+1</f>
        <v>42</v>
      </c>
      <c r="H28" s="5" t="str">
        <f aca="false">IF(G28&lt;40,"short",IF(G28&lt;100,"medium",IF(G28&lt;=200,"long","very long")))</f>
        <v>medium</v>
      </c>
      <c r="I28" s="5" t="s">
        <v>29</v>
      </c>
      <c r="J28" s="5" t="n">
        <v>1</v>
      </c>
    </row>
    <row r="29" customFormat="false" ht="23.85" hidden="false" customHeight="false" outlineLevel="0" collapsed="false">
      <c r="A29" s="5" t="s">
        <v>92</v>
      </c>
      <c r="B29" s="5" t="s">
        <v>24</v>
      </c>
      <c r="C29" s="5" t="s">
        <v>25</v>
      </c>
      <c r="D29" s="5" t="s">
        <v>93</v>
      </c>
      <c r="E29" s="5" t="s">
        <v>54</v>
      </c>
      <c r="F29" s="5" t="s">
        <v>89</v>
      </c>
      <c r="G29" s="5" t="n">
        <f aca="false">LEN(TRIM(D29))-LEN(SUBSTITUTE(TRIM(D29)," ",""))+1</f>
        <v>34</v>
      </c>
      <c r="H29" s="5" t="str">
        <f aca="false">IF(G29&lt;40,"short",IF(G29&lt;100,"medium",IF(G29&lt;=200,"long","very long")))</f>
        <v>short</v>
      </c>
      <c r="I29" s="5" t="s">
        <v>29</v>
      </c>
      <c r="J29" s="5" t="n">
        <v>1</v>
      </c>
    </row>
    <row r="30" customFormat="false" ht="35.05" hidden="false" customHeight="false" outlineLevel="0" collapsed="false">
      <c r="A30" s="5" t="s">
        <v>94</v>
      </c>
      <c r="B30" s="5" t="s">
        <v>24</v>
      </c>
      <c r="C30" s="5" t="s">
        <v>25</v>
      </c>
      <c r="D30" s="5" t="s">
        <v>95</v>
      </c>
      <c r="E30" s="5" t="s">
        <v>32</v>
      </c>
      <c r="F30" s="5" t="s">
        <v>89</v>
      </c>
      <c r="G30" s="5" t="n">
        <f aca="false">LEN(TRIM(D30))-LEN(SUBSTITUTE(TRIM(D30)," ",""))+1</f>
        <v>47</v>
      </c>
      <c r="H30" s="5" t="str">
        <f aca="false">IF(G30&lt;40,"short",IF(G30&lt;100,"medium",IF(G30&lt;=200,"long","very long")))</f>
        <v>medium</v>
      </c>
      <c r="I30" s="5" t="s">
        <v>29</v>
      </c>
      <c r="J30" s="5" t="n">
        <v>1</v>
      </c>
    </row>
    <row r="31" customFormat="false" ht="23.85" hidden="false" customHeight="false" outlineLevel="0" collapsed="false">
      <c r="A31" s="5" t="s">
        <v>96</v>
      </c>
      <c r="B31" s="5" t="s">
        <v>24</v>
      </c>
      <c r="C31" s="5" t="s">
        <v>25</v>
      </c>
      <c r="D31" s="5" t="s">
        <v>97</v>
      </c>
      <c r="E31" s="5" t="s">
        <v>35</v>
      </c>
      <c r="F31" s="5" t="s">
        <v>89</v>
      </c>
      <c r="G31" s="5" t="n">
        <f aca="false">LEN(TRIM(D31))-LEN(SUBSTITUTE(TRIM(D31)," ",""))+1</f>
        <v>46</v>
      </c>
      <c r="H31" s="5" t="str">
        <f aca="false">IF(G31&lt;40,"short",IF(G31&lt;100,"medium",IF(G31&lt;=200,"long","very long")))</f>
        <v>medium</v>
      </c>
      <c r="I31" s="5" t="s">
        <v>29</v>
      </c>
      <c r="J31" s="5" t="n">
        <v>1</v>
      </c>
    </row>
    <row r="32" customFormat="false" ht="35.05" hidden="false" customHeight="false" outlineLevel="0" collapsed="false">
      <c r="A32" s="5" t="s">
        <v>98</v>
      </c>
      <c r="B32" s="5" t="s">
        <v>24</v>
      </c>
      <c r="C32" s="5" t="s">
        <v>25</v>
      </c>
      <c r="D32" s="5" t="s">
        <v>99</v>
      </c>
      <c r="E32" s="5" t="s">
        <v>80</v>
      </c>
      <c r="F32" s="5" t="s">
        <v>89</v>
      </c>
      <c r="G32" s="5" t="n">
        <f aca="false">LEN(TRIM(D32))-LEN(SUBSTITUTE(TRIM(D32)," ",""))+1</f>
        <v>47</v>
      </c>
      <c r="H32" s="5" t="str">
        <f aca="false">IF(G32&lt;40,"short",IF(G32&lt;100,"medium",IF(G32&lt;=200,"long","very long")))</f>
        <v>medium</v>
      </c>
      <c r="I32" s="5" t="s">
        <v>29</v>
      </c>
      <c r="J32" s="5" t="n">
        <v>1</v>
      </c>
    </row>
    <row r="33" customFormat="false" ht="23.85" hidden="false" customHeight="false" outlineLevel="0" collapsed="false">
      <c r="A33" s="5" t="s">
        <v>100</v>
      </c>
      <c r="B33" s="5" t="s">
        <v>24</v>
      </c>
      <c r="C33" s="5" t="s">
        <v>25</v>
      </c>
      <c r="D33" s="5" t="s">
        <v>101</v>
      </c>
      <c r="E33" s="5" t="s">
        <v>38</v>
      </c>
      <c r="F33" s="5" t="s">
        <v>89</v>
      </c>
      <c r="G33" s="5" t="n">
        <f aca="false">LEN(TRIM(D33))-LEN(SUBSTITUTE(TRIM(D33)," ",""))+1</f>
        <v>42</v>
      </c>
      <c r="H33" s="5" t="str">
        <f aca="false">IF(G33&lt;40,"short",IF(G33&lt;100,"medium",IF(G33&lt;=200,"long","very long")))</f>
        <v>medium</v>
      </c>
      <c r="I33" s="5" t="s">
        <v>29</v>
      </c>
      <c r="J33" s="5" t="n">
        <v>1</v>
      </c>
    </row>
    <row r="34" customFormat="false" ht="23.85" hidden="false" customHeight="false" outlineLevel="0" collapsed="false">
      <c r="A34" s="5" t="s">
        <v>102</v>
      </c>
      <c r="B34" s="5" t="s">
        <v>24</v>
      </c>
      <c r="C34" s="5" t="s">
        <v>25</v>
      </c>
      <c r="D34" s="5" t="s">
        <v>103</v>
      </c>
      <c r="E34" s="5" t="s">
        <v>67</v>
      </c>
      <c r="F34" s="5" t="s">
        <v>89</v>
      </c>
      <c r="G34" s="5" t="n">
        <f aca="false">LEN(TRIM(D34))-LEN(SUBSTITUTE(TRIM(D34)," ",""))+1</f>
        <v>40</v>
      </c>
      <c r="H34" s="5" t="str">
        <f aca="false">IF(G34&lt;40,"short",IF(G34&lt;100,"medium",IF(G34&lt;=200,"long","very long")))</f>
        <v>medium</v>
      </c>
      <c r="I34" s="5" t="s">
        <v>29</v>
      </c>
      <c r="J34" s="5" t="n">
        <v>1</v>
      </c>
    </row>
    <row r="35" customFormat="false" ht="23.85" hidden="false" customHeight="false" outlineLevel="0" collapsed="false">
      <c r="A35" s="5" t="s">
        <v>104</v>
      </c>
      <c r="B35" s="5" t="s">
        <v>24</v>
      </c>
      <c r="C35" s="5" t="s">
        <v>25</v>
      </c>
      <c r="D35" s="5" t="s">
        <v>105</v>
      </c>
      <c r="E35" s="5" t="s">
        <v>43</v>
      </c>
      <c r="F35" s="5" t="s">
        <v>89</v>
      </c>
      <c r="G35" s="5" t="n">
        <f aca="false">LEN(TRIM(D35))-LEN(SUBSTITUTE(TRIM(D35)," ",""))+1</f>
        <v>41</v>
      </c>
      <c r="H35" s="5" t="str">
        <f aca="false">IF(G35&lt;40,"short",IF(G35&lt;100,"medium",IF(G35&lt;=200,"long","very long")))</f>
        <v>medium</v>
      </c>
      <c r="I35" s="5" t="s">
        <v>29</v>
      </c>
      <c r="J35" s="5" t="n">
        <v>1</v>
      </c>
    </row>
    <row r="36" customFormat="false" ht="35.05" hidden="false" customHeight="false" outlineLevel="0" collapsed="false">
      <c r="A36" s="5" t="s">
        <v>106</v>
      </c>
      <c r="B36" s="5" t="s">
        <v>24</v>
      </c>
      <c r="C36" s="5" t="s">
        <v>25</v>
      </c>
      <c r="D36" s="5" t="s">
        <v>107</v>
      </c>
      <c r="E36" s="5" t="s">
        <v>46</v>
      </c>
      <c r="F36" s="5" t="s">
        <v>89</v>
      </c>
      <c r="G36" s="5" t="n">
        <f aca="false">LEN(TRIM(D36))-LEN(SUBSTITUTE(TRIM(D36)," ",""))+1</f>
        <v>45</v>
      </c>
      <c r="H36" s="5" t="str">
        <f aca="false">IF(G36&lt;40,"short",IF(G36&lt;100,"medium",IF(G36&lt;=200,"long","very long")))</f>
        <v>medium</v>
      </c>
      <c r="I36" s="5" t="s">
        <v>29</v>
      </c>
      <c r="J36" s="5" t="n">
        <v>1</v>
      </c>
    </row>
    <row r="37" customFormat="false" ht="113.4" hidden="false" customHeight="false" outlineLevel="0" collapsed="false">
      <c r="A37" s="5" t="s">
        <v>108</v>
      </c>
      <c r="B37" s="5" t="s">
        <v>24</v>
      </c>
      <c r="C37" s="5" t="s">
        <v>25</v>
      </c>
      <c r="D37" s="5" t="s">
        <v>109</v>
      </c>
      <c r="E37" s="5" t="s">
        <v>35</v>
      </c>
      <c r="F37" s="5" t="s">
        <v>110</v>
      </c>
      <c r="G37" s="5" t="n">
        <f aca="false">LEN(TRIM(D37))-LEN(SUBSTITUTE(TRIM(D37)," ",""))+1</f>
        <v>215</v>
      </c>
      <c r="H37" s="5" t="str">
        <f aca="false">IF(G37&lt;40,"short",IF(G37&lt;100,"medium",IF(G37&lt;=200,"long","very long")))</f>
        <v>very long</v>
      </c>
      <c r="I37" s="5" t="s">
        <v>29</v>
      </c>
      <c r="J37" s="5" t="n">
        <v>1</v>
      </c>
    </row>
    <row r="38" customFormat="false" ht="46.25" hidden="false" customHeight="false" outlineLevel="0" collapsed="false">
      <c r="A38" s="5" t="s">
        <v>111</v>
      </c>
      <c r="B38" s="5" t="s">
        <v>24</v>
      </c>
      <c r="C38" s="5" t="s">
        <v>25</v>
      </c>
      <c r="D38" s="5" t="s">
        <v>112</v>
      </c>
      <c r="E38" s="5" t="s">
        <v>49</v>
      </c>
      <c r="F38" s="5" t="s">
        <v>110</v>
      </c>
      <c r="G38" s="5" t="n">
        <f aca="false">LEN(TRIM(D38))-LEN(SUBSTITUTE(TRIM(D38)," ",""))+1</f>
        <v>80</v>
      </c>
      <c r="H38" s="5" t="str">
        <f aca="false">IF(G38&lt;40,"short",IF(G38&lt;100,"medium",IF(G38&lt;=200,"long","very long")))</f>
        <v>medium</v>
      </c>
      <c r="I38" s="5" t="s">
        <v>29</v>
      </c>
      <c r="J38" s="5" t="n">
        <v>1</v>
      </c>
    </row>
    <row r="39" customFormat="false" ht="57.45" hidden="false" customHeight="false" outlineLevel="0" collapsed="false">
      <c r="A39" s="5" t="s">
        <v>113</v>
      </c>
      <c r="B39" s="5" t="s">
        <v>24</v>
      </c>
      <c r="C39" s="5" t="s">
        <v>25</v>
      </c>
      <c r="D39" s="5" t="s">
        <v>114</v>
      </c>
      <c r="E39" s="5" t="s">
        <v>80</v>
      </c>
      <c r="F39" s="5" t="s">
        <v>110</v>
      </c>
      <c r="G39" s="5" t="n">
        <f aca="false">LEN(TRIM(D39))-LEN(SUBSTITUTE(TRIM(D39)," ",""))+1</f>
        <v>109</v>
      </c>
      <c r="H39" s="5" t="str">
        <f aca="false">IF(G39&lt;40,"short",IF(G39&lt;100,"medium",IF(G39&lt;=200,"long","very long")))</f>
        <v>long</v>
      </c>
      <c r="I39" s="5" t="s">
        <v>29</v>
      </c>
      <c r="J39" s="5" t="n">
        <v>1</v>
      </c>
    </row>
    <row r="40" customFormat="false" ht="68.65" hidden="false" customHeight="false" outlineLevel="0" collapsed="false">
      <c r="A40" s="5" t="s">
        <v>115</v>
      </c>
      <c r="B40" s="5" t="s">
        <v>24</v>
      </c>
      <c r="C40" s="5" t="s">
        <v>25</v>
      </c>
      <c r="D40" s="5" t="s">
        <v>116</v>
      </c>
      <c r="E40" s="5" t="s">
        <v>54</v>
      </c>
      <c r="F40" s="5" t="s">
        <v>110</v>
      </c>
      <c r="G40" s="5" t="n">
        <f aca="false">LEN(TRIM(D40))-LEN(SUBSTITUTE(TRIM(D40)," ",""))+1</f>
        <v>109</v>
      </c>
      <c r="H40" s="5" t="str">
        <f aca="false">IF(G40&lt;40,"short",IF(G40&lt;100,"medium",IF(G40&lt;=200,"long","very long")))</f>
        <v>long</v>
      </c>
      <c r="I40" s="5" t="s">
        <v>29</v>
      </c>
      <c r="J40" s="5" t="n">
        <v>1</v>
      </c>
    </row>
    <row r="41" customFormat="false" ht="46.25" hidden="false" customHeight="false" outlineLevel="0" collapsed="false">
      <c r="A41" s="5" t="s">
        <v>117</v>
      </c>
      <c r="B41" s="5" t="s">
        <v>24</v>
      </c>
      <c r="C41" s="5" t="s">
        <v>25</v>
      </c>
      <c r="D41" s="5" t="s">
        <v>118</v>
      </c>
      <c r="E41" s="5" t="s">
        <v>67</v>
      </c>
      <c r="F41" s="5" t="s">
        <v>110</v>
      </c>
      <c r="G41" s="5" t="n">
        <f aca="false">LEN(TRIM(D41))-LEN(SUBSTITUTE(TRIM(D41)," ",""))+1</f>
        <v>65</v>
      </c>
      <c r="H41" s="5" t="str">
        <f aca="false">IF(G41&lt;40,"short",IF(G41&lt;100,"medium",IF(G41&lt;=200,"long","very long")))</f>
        <v>medium</v>
      </c>
      <c r="I41" s="5" t="s">
        <v>29</v>
      </c>
      <c r="J41" s="5" t="n">
        <v>1</v>
      </c>
    </row>
    <row r="42" customFormat="false" ht="23.85" hidden="false" customHeight="false" outlineLevel="0" collapsed="false">
      <c r="A42" s="5" t="s">
        <v>119</v>
      </c>
      <c r="B42" s="5" t="s">
        <v>24</v>
      </c>
      <c r="C42" s="5" t="s">
        <v>25</v>
      </c>
      <c r="D42" s="5" t="s">
        <v>120</v>
      </c>
      <c r="E42" s="5" t="s">
        <v>27</v>
      </c>
      <c r="F42" s="5" t="s">
        <v>110</v>
      </c>
      <c r="G42" s="5" t="n">
        <f aca="false">LEN(TRIM(D42))-LEN(SUBSTITUTE(TRIM(D42)," ",""))+1</f>
        <v>30</v>
      </c>
      <c r="H42" s="5" t="str">
        <f aca="false">IF(G42&lt;40,"short",IF(G42&lt;100,"medium",IF(G42&lt;=200,"long","very long")))</f>
        <v>short</v>
      </c>
      <c r="I42" s="5" t="s">
        <v>29</v>
      </c>
      <c r="J42" s="5" t="n">
        <v>1</v>
      </c>
    </row>
    <row r="43" customFormat="false" ht="57.45" hidden="false" customHeight="false" outlineLevel="0" collapsed="false">
      <c r="A43" s="5" t="s">
        <v>121</v>
      </c>
      <c r="B43" s="5" t="s">
        <v>24</v>
      </c>
      <c r="C43" s="5" t="s">
        <v>25</v>
      </c>
      <c r="D43" s="5" t="s">
        <v>122</v>
      </c>
      <c r="E43" s="5" t="s">
        <v>54</v>
      </c>
      <c r="F43" s="5" t="s">
        <v>110</v>
      </c>
      <c r="G43" s="5" t="n">
        <f aca="false">LEN(TRIM(D43))-LEN(SUBSTITUTE(TRIM(D43)," ",""))+1</f>
        <v>104</v>
      </c>
      <c r="H43" s="5" t="str">
        <f aca="false">IF(G43&lt;40,"short",IF(G43&lt;100,"medium",IF(G43&lt;=200,"long","very long")))</f>
        <v>long</v>
      </c>
      <c r="I43" s="5" t="s">
        <v>29</v>
      </c>
      <c r="J43" s="5" t="n">
        <v>1</v>
      </c>
    </row>
    <row r="44" customFormat="false" ht="35.05" hidden="false" customHeight="false" outlineLevel="0" collapsed="false">
      <c r="A44" s="5" t="s">
        <v>123</v>
      </c>
      <c r="B44" s="5" t="s">
        <v>24</v>
      </c>
      <c r="C44" s="5" t="s">
        <v>25</v>
      </c>
      <c r="D44" s="5" t="s">
        <v>124</v>
      </c>
      <c r="E44" s="5" t="s">
        <v>49</v>
      </c>
      <c r="F44" s="5" t="s">
        <v>110</v>
      </c>
      <c r="G44" s="5" t="n">
        <f aca="false">LEN(TRIM(D44))-LEN(SUBSTITUTE(TRIM(D44)," ",""))+1</f>
        <v>65</v>
      </c>
      <c r="H44" s="5" t="str">
        <f aca="false">IF(G44&lt;40,"short",IF(G44&lt;100,"medium",IF(G44&lt;=200,"long","very long")))</f>
        <v>medium</v>
      </c>
      <c r="I44" s="5" t="s">
        <v>29</v>
      </c>
      <c r="J44" s="5" t="n">
        <v>1</v>
      </c>
    </row>
    <row r="45" customFormat="false" ht="57.45" hidden="false" customHeight="false" outlineLevel="0" collapsed="false">
      <c r="A45" s="5" t="s">
        <v>125</v>
      </c>
      <c r="B45" s="5" t="s">
        <v>24</v>
      </c>
      <c r="C45" s="5" t="s">
        <v>25</v>
      </c>
      <c r="D45" s="5" t="s">
        <v>126</v>
      </c>
      <c r="E45" s="5" t="s">
        <v>49</v>
      </c>
      <c r="F45" s="5" t="s">
        <v>110</v>
      </c>
      <c r="G45" s="5" t="n">
        <f aca="false">LEN(TRIM(D45))-LEN(SUBSTITUTE(TRIM(D45)," ",""))+1</f>
        <v>108</v>
      </c>
      <c r="H45" s="5" t="str">
        <f aca="false">IF(G45&lt;40,"short",IF(G45&lt;100,"medium",IF(G45&lt;=200,"long","very long")))</f>
        <v>long</v>
      </c>
      <c r="I45" s="5" t="s">
        <v>29</v>
      </c>
      <c r="J45" s="5" t="n">
        <v>1</v>
      </c>
    </row>
    <row r="46" customFormat="false" ht="46.25" hidden="false" customHeight="false" outlineLevel="0" collapsed="false">
      <c r="A46" s="5" t="s">
        <v>127</v>
      </c>
      <c r="B46" s="5" t="s">
        <v>24</v>
      </c>
      <c r="C46" s="5" t="s">
        <v>25</v>
      </c>
      <c r="D46" s="5" t="s">
        <v>128</v>
      </c>
      <c r="E46" s="5" t="s">
        <v>35</v>
      </c>
      <c r="F46" s="5" t="s">
        <v>110</v>
      </c>
      <c r="G46" s="5" t="n">
        <f aca="false">LEN(TRIM(D46))-LEN(SUBSTITUTE(TRIM(D46)," ",""))+1</f>
        <v>76</v>
      </c>
      <c r="H46" s="5" t="str">
        <f aca="false">IF(G46&lt;40,"short",IF(G46&lt;100,"medium",IF(G46&lt;=200,"long","very long")))</f>
        <v>medium</v>
      </c>
      <c r="I46" s="5" t="s">
        <v>29</v>
      </c>
      <c r="J46" s="5" t="n">
        <v>1</v>
      </c>
    </row>
    <row r="47" customFormat="false" ht="23.85" hidden="false" customHeight="false" outlineLevel="0" collapsed="false">
      <c r="A47" s="5" t="s">
        <v>129</v>
      </c>
      <c r="B47" s="5" t="s">
        <v>24</v>
      </c>
      <c r="C47" s="5" t="s">
        <v>25</v>
      </c>
      <c r="D47" s="5" t="s">
        <v>130</v>
      </c>
      <c r="E47" s="5" t="s">
        <v>67</v>
      </c>
      <c r="F47" s="5" t="s">
        <v>110</v>
      </c>
      <c r="G47" s="5" t="n">
        <f aca="false">LEN(TRIM(D47))-LEN(SUBSTITUTE(TRIM(D47)," ",""))+1</f>
        <v>35</v>
      </c>
      <c r="H47" s="5" t="str">
        <f aca="false">IF(G47&lt;40,"short",IF(G47&lt;100,"medium",IF(G47&lt;=200,"long","very long")))</f>
        <v>short</v>
      </c>
      <c r="I47" s="5" t="s">
        <v>29</v>
      </c>
      <c r="J47" s="5" t="n">
        <v>1</v>
      </c>
    </row>
    <row r="48" customFormat="false" ht="23.85" hidden="false" customHeight="false" outlineLevel="0" collapsed="false">
      <c r="A48" s="5" t="s">
        <v>131</v>
      </c>
      <c r="B48" s="5" t="s">
        <v>24</v>
      </c>
      <c r="C48" s="5" t="s">
        <v>25</v>
      </c>
      <c r="D48" s="5" t="s">
        <v>132</v>
      </c>
      <c r="E48" s="5" t="s">
        <v>38</v>
      </c>
      <c r="F48" s="5" t="s">
        <v>110</v>
      </c>
      <c r="G48" s="5" t="n">
        <f aca="false">LEN(TRIM(D48))-LEN(SUBSTITUTE(TRIM(D48)," ",""))+1</f>
        <v>32</v>
      </c>
      <c r="H48" s="5" t="str">
        <f aca="false">IF(G48&lt;40,"short",IF(G48&lt;100,"medium",IF(G48&lt;=200,"long","very long")))</f>
        <v>short</v>
      </c>
      <c r="I48" s="5" t="s">
        <v>29</v>
      </c>
      <c r="J48" s="5" t="n">
        <v>1</v>
      </c>
    </row>
    <row r="49" customFormat="false" ht="68.65" hidden="false" customHeight="false" outlineLevel="0" collapsed="false">
      <c r="A49" s="5" t="s">
        <v>133</v>
      </c>
      <c r="B49" s="5" t="s">
        <v>24</v>
      </c>
      <c r="C49" s="5" t="s">
        <v>25</v>
      </c>
      <c r="D49" s="5" t="s">
        <v>134</v>
      </c>
      <c r="E49" s="5" t="s">
        <v>46</v>
      </c>
      <c r="F49" s="5" t="s">
        <v>110</v>
      </c>
      <c r="G49" s="5" t="n">
        <f aca="false">LEN(TRIM(D49))-LEN(SUBSTITUTE(TRIM(D49)," ",""))+1</f>
        <v>112</v>
      </c>
      <c r="H49" s="5" t="str">
        <f aca="false">IF(G49&lt;40,"short",IF(G49&lt;100,"medium",IF(G49&lt;=200,"long","very long")))</f>
        <v>long</v>
      </c>
      <c r="I49" s="5" t="s">
        <v>29</v>
      </c>
      <c r="J49" s="5" t="n">
        <v>1</v>
      </c>
    </row>
    <row r="50" customFormat="false" ht="35.05" hidden="false" customHeight="false" outlineLevel="0" collapsed="false">
      <c r="A50" s="5" t="s">
        <v>135</v>
      </c>
      <c r="B50" s="5" t="s">
        <v>24</v>
      </c>
      <c r="C50" s="5" t="s">
        <v>25</v>
      </c>
      <c r="D50" s="5" t="s">
        <v>136</v>
      </c>
      <c r="E50" s="5" t="s">
        <v>54</v>
      </c>
      <c r="F50" s="5" t="s">
        <v>110</v>
      </c>
      <c r="G50" s="5" t="n">
        <f aca="false">LEN(TRIM(D50))-LEN(SUBSTITUTE(TRIM(D50)," ",""))+1</f>
        <v>67</v>
      </c>
      <c r="H50" s="5" t="str">
        <f aca="false">IF(G50&lt;40,"short",IF(G50&lt;100,"medium",IF(G50&lt;=200,"long","very long")))</f>
        <v>medium</v>
      </c>
      <c r="I50" s="5" t="s">
        <v>29</v>
      </c>
      <c r="J50" s="5" t="n">
        <v>1</v>
      </c>
    </row>
    <row r="51" customFormat="false" ht="23.85" hidden="false" customHeight="false" outlineLevel="0" collapsed="false">
      <c r="A51" s="5" t="s">
        <v>137</v>
      </c>
      <c r="B51" s="5" t="s">
        <v>24</v>
      </c>
      <c r="C51" s="5" t="s">
        <v>25</v>
      </c>
      <c r="D51" s="5" t="s">
        <v>138</v>
      </c>
      <c r="E51" s="5" t="s">
        <v>67</v>
      </c>
      <c r="F51" s="5" t="s">
        <v>110</v>
      </c>
      <c r="G51" s="5" t="n">
        <f aca="false">LEN(TRIM(D51))-LEN(SUBSTITUTE(TRIM(D51)," ",""))+1</f>
        <v>37</v>
      </c>
      <c r="H51" s="5" t="str">
        <f aca="false">IF(G51&lt;40,"short",IF(G51&lt;100,"medium",IF(G51&lt;=200,"long","very long")))</f>
        <v>short</v>
      </c>
      <c r="I51" s="5" t="s">
        <v>29</v>
      </c>
      <c r="J51" s="5" t="n">
        <v>1</v>
      </c>
    </row>
    <row r="52" customFormat="false" ht="35.05" hidden="false" customHeight="false" outlineLevel="0" collapsed="false">
      <c r="A52" s="5" t="s">
        <v>139</v>
      </c>
      <c r="B52" s="5" t="s">
        <v>24</v>
      </c>
      <c r="C52" s="5" t="s">
        <v>25</v>
      </c>
      <c r="D52" s="5" t="s">
        <v>140</v>
      </c>
      <c r="E52" s="5" t="s">
        <v>49</v>
      </c>
      <c r="F52" s="5" t="s">
        <v>141</v>
      </c>
      <c r="G52" s="5" t="n">
        <f aca="false">LEN(TRIM(D52))-LEN(SUBSTITUTE(TRIM(D52)," ",""))+1</f>
        <v>43</v>
      </c>
      <c r="H52" s="5" t="str">
        <f aca="false">IF(G52&lt;40,"short",IF(G52&lt;100,"medium",IF(G52&lt;=200,"long","very long")))</f>
        <v>medium</v>
      </c>
      <c r="I52" s="5" t="s">
        <v>29</v>
      </c>
      <c r="J52" s="5" t="n">
        <v>1</v>
      </c>
    </row>
    <row r="53" customFormat="false" ht="23.85" hidden="false" customHeight="false" outlineLevel="0" collapsed="false">
      <c r="A53" s="5" t="s">
        <v>142</v>
      </c>
      <c r="B53" s="5" t="s">
        <v>24</v>
      </c>
      <c r="C53" s="5" t="s">
        <v>25</v>
      </c>
      <c r="D53" s="5" t="s">
        <v>143</v>
      </c>
      <c r="E53" s="5" t="s">
        <v>49</v>
      </c>
      <c r="F53" s="5" t="s">
        <v>141</v>
      </c>
      <c r="G53" s="5" t="n">
        <f aca="false">LEN(TRIM(D53))-LEN(SUBSTITUTE(TRIM(D53)," ",""))+1</f>
        <v>39</v>
      </c>
      <c r="H53" s="5" t="str">
        <f aca="false">IF(G53&lt;40,"short",IF(G53&lt;100,"medium",IF(G53&lt;=200,"long","very long")))</f>
        <v>short</v>
      </c>
      <c r="I53" s="5" t="s">
        <v>29</v>
      </c>
      <c r="J53" s="5" t="n">
        <v>1</v>
      </c>
    </row>
    <row r="54" customFormat="false" ht="23.85" hidden="false" customHeight="false" outlineLevel="0" collapsed="false">
      <c r="A54" s="5" t="s">
        <v>144</v>
      </c>
      <c r="B54" s="5" t="s">
        <v>24</v>
      </c>
      <c r="C54" s="5" t="s">
        <v>25</v>
      </c>
      <c r="D54" s="5" t="s">
        <v>145</v>
      </c>
      <c r="E54" s="5" t="s">
        <v>35</v>
      </c>
      <c r="F54" s="5" t="s">
        <v>141</v>
      </c>
      <c r="G54" s="5" t="n">
        <f aca="false">LEN(TRIM(D54))-LEN(SUBSTITUTE(TRIM(D54)," ",""))+1</f>
        <v>25</v>
      </c>
      <c r="H54" s="5" t="str">
        <f aca="false">IF(G54&lt;40,"short",IF(G54&lt;100,"medium",IF(G54&lt;=200,"long","very long")))</f>
        <v>short</v>
      </c>
      <c r="I54" s="5" t="s">
        <v>29</v>
      </c>
      <c r="J54" s="5" t="n">
        <v>1</v>
      </c>
    </row>
    <row r="55" customFormat="false" ht="23.85" hidden="false" customHeight="false" outlineLevel="0" collapsed="false">
      <c r="A55" s="5" t="s">
        <v>146</v>
      </c>
      <c r="B55" s="5" t="s">
        <v>24</v>
      </c>
      <c r="C55" s="5" t="s">
        <v>25</v>
      </c>
      <c r="D55" s="5" t="s">
        <v>147</v>
      </c>
      <c r="E55" s="5" t="s">
        <v>54</v>
      </c>
      <c r="F55" s="5" t="s">
        <v>141</v>
      </c>
      <c r="G55" s="5" t="n">
        <f aca="false">LEN(TRIM(D55))-LEN(SUBSTITUTE(TRIM(D55)," ",""))+1</f>
        <v>25</v>
      </c>
      <c r="H55" s="5" t="str">
        <f aca="false">IF(G55&lt;40,"short",IF(G55&lt;100,"medium",IF(G55&lt;=200,"long","very long")))</f>
        <v>short</v>
      </c>
      <c r="I55" s="5" t="s">
        <v>29</v>
      </c>
      <c r="J55" s="5" t="n">
        <v>1</v>
      </c>
    </row>
    <row r="56" customFormat="false" ht="15" hidden="false" customHeight="false" outlineLevel="0" collapsed="false">
      <c r="A56" s="5" t="s">
        <v>148</v>
      </c>
      <c r="B56" s="5" t="s">
        <v>24</v>
      </c>
      <c r="C56" s="5" t="s">
        <v>25</v>
      </c>
      <c r="D56" s="5" t="s">
        <v>149</v>
      </c>
      <c r="E56" s="5" t="s">
        <v>27</v>
      </c>
      <c r="F56" s="5" t="s">
        <v>141</v>
      </c>
      <c r="G56" s="5" t="n">
        <f aca="false">LEN(TRIM(D56))-LEN(SUBSTITUTE(TRIM(D56)," ",""))+1</f>
        <v>13</v>
      </c>
      <c r="H56" s="5" t="str">
        <f aca="false">IF(G56&lt;40,"short",IF(G56&lt;100,"medium",IF(G56&lt;=200,"long","very long")))</f>
        <v>short</v>
      </c>
      <c r="I56" s="5" t="s">
        <v>29</v>
      </c>
      <c r="J56" s="5" t="n">
        <v>1</v>
      </c>
    </row>
    <row r="57" customFormat="false" ht="23.85" hidden="false" customHeight="false" outlineLevel="0" collapsed="false">
      <c r="A57" s="5" t="s">
        <v>150</v>
      </c>
      <c r="B57" s="5" t="s">
        <v>24</v>
      </c>
      <c r="C57" s="5" t="s">
        <v>25</v>
      </c>
      <c r="D57" s="5" t="s">
        <v>151</v>
      </c>
      <c r="E57" s="5" t="s">
        <v>43</v>
      </c>
      <c r="F57" s="5" t="s">
        <v>141</v>
      </c>
      <c r="G57" s="5" t="n">
        <f aca="false">LEN(TRIM(D57))-LEN(SUBSTITUTE(TRIM(D57)," ",""))+1</f>
        <v>42</v>
      </c>
      <c r="H57" s="5" t="str">
        <f aca="false">IF(G57&lt;40,"short",IF(G57&lt;100,"medium",IF(G57&lt;=200,"long","very long")))</f>
        <v>medium</v>
      </c>
      <c r="I57" s="5" t="s">
        <v>29</v>
      </c>
      <c r="J57" s="5" t="n">
        <v>1</v>
      </c>
    </row>
    <row r="58" customFormat="false" ht="23.85" hidden="false" customHeight="false" outlineLevel="0" collapsed="false">
      <c r="A58" s="5" t="s">
        <v>152</v>
      </c>
      <c r="B58" s="5" t="s">
        <v>24</v>
      </c>
      <c r="C58" s="5" t="s">
        <v>25</v>
      </c>
      <c r="D58" s="5" t="s">
        <v>153</v>
      </c>
      <c r="E58" s="5" t="s">
        <v>67</v>
      </c>
      <c r="F58" s="5" t="s">
        <v>141</v>
      </c>
      <c r="G58" s="5" t="n">
        <f aca="false">LEN(TRIM(D58))-LEN(SUBSTITUTE(TRIM(D58)," ",""))+1</f>
        <v>37</v>
      </c>
      <c r="H58" s="5" t="str">
        <f aca="false">IF(G58&lt;40,"short",IF(G58&lt;100,"medium",IF(G58&lt;=200,"long","very long")))</f>
        <v>short</v>
      </c>
      <c r="I58" s="5" t="s">
        <v>29</v>
      </c>
      <c r="J58" s="5" t="n">
        <v>1</v>
      </c>
    </row>
    <row r="59" customFormat="false" ht="23.85" hidden="false" customHeight="false" outlineLevel="0" collapsed="false">
      <c r="A59" s="5" t="s">
        <v>154</v>
      </c>
      <c r="B59" s="5" t="s">
        <v>24</v>
      </c>
      <c r="C59" s="5" t="s">
        <v>25</v>
      </c>
      <c r="D59" s="5" t="s">
        <v>155</v>
      </c>
      <c r="E59" s="5" t="s">
        <v>27</v>
      </c>
      <c r="F59" s="5" t="s">
        <v>141</v>
      </c>
      <c r="G59" s="5" t="n">
        <f aca="false">LEN(TRIM(D59))-LEN(SUBSTITUTE(TRIM(D59)," ",""))+1</f>
        <v>43</v>
      </c>
      <c r="H59" s="5" t="str">
        <f aca="false">IF(G59&lt;40,"short",IF(G59&lt;100,"medium",IF(G59&lt;=200,"long","very long")))</f>
        <v>medium</v>
      </c>
      <c r="I59" s="5" t="s">
        <v>29</v>
      </c>
      <c r="J59" s="5" t="n">
        <v>1</v>
      </c>
    </row>
    <row r="60" customFormat="false" ht="23.85" hidden="false" customHeight="false" outlineLevel="0" collapsed="false">
      <c r="A60" s="5" t="s">
        <v>156</v>
      </c>
      <c r="B60" s="5" t="s">
        <v>24</v>
      </c>
      <c r="C60" s="5" t="s">
        <v>25</v>
      </c>
      <c r="D60" s="5" t="s">
        <v>157</v>
      </c>
      <c r="E60" s="5" t="s">
        <v>49</v>
      </c>
      <c r="F60" s="5" t="s">
        <v>141</v>
      </c>
      <c r="G60" s="5" t="n">
        <f aca="false">LEN(TRIM(D60))-LEN(SUBSTITUTE(TRIM(D60)," ",""))+1</f>
        <v>34</v>
      </c>
      <c r="H60" s="5" t="str">
        <f aca="false">IF(G60&lt;40,"short",IF(G60&lt;100,"medium",IF(G60&lt;=200,"long","very long")))</f>
        <v>short</v>
      </c>
      <c r="I60" s="5" t="s">
        <v>29</v>
      </c>
      <c r="J60" s="5" t="n">
        <v>1</v>
      </c>
    </row>
    <row r="61" customFormat="false" ht="23.85" hidden="false" customHeight="false" outlineLevel="0" collapsed="false">
      <c r="A61" s="5" t="s">
        <v>158</v>
      </c>
      <c r="B61" s="5" t="s">
        <v>24</v>
      </c>
      <c r="C61" s="5" t="s">
        <v>25</v>
      </c>
      <c r="D61" s="5" t="s">
        <v>159</v>
      </c>
      <c r="E61" s="5" t="s">
        <v>54</v>
      </c>
      <c r="F61" s="5" t="s">
        <v>141</v>
      </c>
      <c r="G61" s="5" t="n">
        <f aca="false">LEN(TRIM(D61))-LEN(SUBSTITUTE(TRIM(D61)," ",""))+1</f>
        <v>21</v>
      </c>
      <c r="H61" s="5" t="str">
        <f aca="false">IF(G61&lt;40,"short",IF(G61&lt;100,"medium",IF(G61&lt;=200,"long","very long")))</f>
        <v>short</v>
      </c>
      <c r="I61" s="5" t="s">
        <v>29</v>
      </c>
      <c r="J61" s="5" t="n">
        <v>1</v>
      </c>
    </row>
    <row r="62" customFormat="false" ht="15" hidden="false" customHeight="false" outlineLevel="0" collapsed="false">
      <c r="A62" s="5" t="s">
        <v>160</v>
      </c>
      <c r="B62" s="5" t="s">
        <v>24</v>
      </c>
      <c r="C62" s="5" t="s">
        <v>25</v>
      </c>
      <c r="D62" s="5" t="s">
        <v>161</v>
      </c>
      <c r="E62" s="5" t="s">
        <v>32</v>
      </c>
      <c r="F62" s="5" t="s">
        <v>141</v>
      </c>
      <c r="G62" s="5" t="n">
        <f aca="false">LEN(TRIM(D62))-LEN(SUBSTITUTE(TRIM(D62)," ",""))+1</f>
        <v>13</v>
      </c>
      <c r="H62" s="5" t="str">
        <f aca="false">IF(G62&lt;40,"short",IF(G62&lt;100,"medium",IF(G62&lt;=200,"long","very long")))</f>
        <v>short</v>
      </c>
      <c r="I62" s="5" t="s">
        <v>29</v>
      </c>
      <c r="J62" s="5" t="n">
        <v>1</v>
      </c>
    </row>
    <row r="63" customFormat="false" ht="23.85" hidden="false" customHeight="false" outlineLevel="0" collapsed="false">
      <c r="A63" s="5" t="s">
        <v>162</v>
      </c>
      <c r="B63" s="5" t="s">
        <v>24</v>
      </c>
      <c r="C63" s="5" t="s">
        <v>25</v>
      </c>
      <c r="D63" s="5" t="s">
        <v>163</v>
      </c>
      <c r="E63" s="5" t="s">
        <v>38</v>
      </c>
      <c r="F63" s="5" t="s">
        <v>141</v>
      </c>
      <c r="G63" s="5" t="n">
        <f aca="false">LEN(TRIM(D63))-LEN(SUBSTITUTE(TRIM(D63)," ",""))+1</f>
        <v>29</v>
      </c>
      <c r="H63" s="5" t="str">
        <f aca="false">IF(G63&lt;40,"short",IF(G63&lt;100,"medium",IF(G63&lt;=200,"long","very long")))</f>
        <v>short</v>
      </c>
      <c r="I63" s="5" t="s">
        <v>29</v>
      </c>
      <c r="J63" s="5" t="n">
        <v>1</v>
      </c>
    </row>
    <row r="64" customFormat="false" ht="15" hidden="false" customHeight="false" outlineLevel="0" collapsed="false">
      <c r="A64" s="5" t="s">
        <v>164</v>
      </c>
      <c r="B64" s="5" t="s">
        <v>24</v>
      </c>
      <c r="C64" s="5" t="s">
        <v>25</v>
      </c>
      <c r="D64" s="5" t="s">
        <v>165</v>
      </c>
      <c r="E64" s="5" t="s">
        <v>80</v>
      </c>
      <c r="F64" s="5" t="s">
        <v>141</v>
      </c>
      <c r="G64" s="5" t="n">
        <f aca="false">LEN(TRIM(D64))-LEN(SUBSTITUTE(TRIM(D64)," ",""))+1</f>
        <v>16</v>
      </c>
      <c r="H64" s="5" t="str">
        <f aca="false">IF(G64&lt;40,"short",IF(G64&lt;100,"medium",IF(G64&lt;=200,"long","very long")))</f>
        <v>short</v>
      </c>
      <c r="I64" s="5" t="s">
        <v>29</v>
      </c>
      <c r="J64" s="5" t="n">
        <v>1</v>
      </c>
    </row>
    <row r="65" customFormat="false" ht="23.85" hidden="false" customHeight="false" outlineLevel="0" collapsed="false">
      <c r="A65" s="5" t="s">
        <v>166</v>
      </c>
      <c r="B65" s="5" t="s">
        <v>24</v>
      </c>
      <c r="C65" s="5" t="s">
        <v>25</v>
      </c>
      <c r="D65" s="5" t="s">
        <v>167</v>
      </c>
      <c r="E65" s="5" t="s">
        <v>43</v>
      </c>
      <c r="F65" s="5" t="s">
        <v>141</v>
      </c>
      <c r="G65" s="5" t="n">
        <f aca="false">LEN(TRIM(D65))-LEN(SUBSTITUTE(TRIM(D65)," ",""))+1</f>
        <v>44</v>
      </c>
      <c r="H65" s="5" t="str">
        <f aca="false">IF(G65&lt;40,"short",IF(G65&lt;100,"medium",IF(G65&lt;=200,"long","very long")))</f>
        <v>medium</v>
      </c>
      <c r="I65" s="5" t="s">
        <v>29</v>
      </c>
      <c r="J65" s="5" t="n">
        <v>1</v>
      </c>
    </row>
    <row r="66" customFormat="false" ht="15" hidden="false" customHeight="false" outlineLevel="0" collapsed="false">
      <c r="A66" s="5" t="s">
        <v>168</v>
      </c>
      <c r="B66" s="5" t="s">
        <v>24</v>
      </c>
      <c r="C66" s="5" t="s">
        <v>25</v>
      </c>
      <c r="D66" s="5" t="s">
        <v>169</v>
      </c>
      <c r="E66" s="5" t="s">
        <v>35</v>
      </c>
      <c r="F66" s="5" t="s">
        <v>141</v>
      </c>
      <c r="G66" s="5" t="n">
        <f aca="false">LEN(TRIM(D66))-LEN(SUBSTITUTE(TRIM(D66)," ",""))+1</f>
        <v>19</v>
      </c>
      <c r="H66" s="5" t="str">
        <f aca="false">IF(G66&lt;40,"short",IF(G66&lt;100,"medium",IF(G66&lt;=200,"long","very long")))</f>
        <v>short</v>
      </c>
      <c r="I66" s="5" t="s">
        <v>29</v>
      </c>
      <c r="J66" s="5" t="n">
        <v>1</v>
      </c>
    </row>
    <row r="67" customFormat="false" ht="113.4" hidden="false" customHeight="false" outlineLevel="0" collapsed="false">
      <c r="A67" s="5" t="s">
        <v>170</v>
      </c>
      <c r="B67" s="5" t="s">
        <v>24</v>
      </c>
      <c r="C67" s="5" t="s">
        <v>25</v>
      </c>
      <c r="D67" s="5" t="s">
        <v>171</v>
      </c>
      <c r="E67" s="5" t="s">
        <v>172</v>
      </c>
      <c r="F67" s="5" t="s">
        <v>173</v>
      </c>
      <c r="G67" s="5" t="n">
        <f aca="false">LEN(TRIM(D67))-LEN(SUBSTITUTE(TRIM(D67)," ",""))+1</f>
        <v>220</v>
      </c>
      <c r="H67" s="5" t="str">
        <f aca="false">IF(G67&lt;40,"short",IF(G67&lt;100,"medium",IF(G67&lt;=200,"long","very long")))</f>
        <v>very long</v>
      </c>
      <c r="I67" s="5" t="s">
        <v>29</v>
      </c>
      <c r="J67" s="5" t="n">
        <v>1</v>
      </c>
    </row>
    <row r="68" customFormat="false" ht="68.65" hidden="false" customHeight="false" outlineLevel="0" collapsed="false">
      <c r="A68" s="5" t="s">
        <v>174</v>
      </c>
      <c r="B68" s="5" t="s">
        <v>24</v>
      </c>
      <c r="C68" s="5" t="s">
        <v>25</v>
      </c>
      <c r="D68" s="5" t="s">
        <v>175</v>
      </c>
      <c r="E68" s="5" t="s">
        <v>176</v>
      </c>
      <c r="F68" s="5" t="s">
        <v>173</v>
      </c>
      <c r="G68" s="5" t="n">
        <f aca="false">LEN(TRIM(D68))-LEN(SUBSTITUTE(TRIM(D68)," ",""))+1</f>
        <v>128</v>
      </c>
      <c r="H68" s="5" t="str">
        <f aca="false">IF(G68&lt;40,"short",IF(G68&lt;100,"medium",IF(G68&lt;=200,"long","very long")))</f>
        <v>long</v>
      </c>
      <c r="I68" s="5" t="s">
        <v>29</v>
      </c>
      <c r="J68" s="5" t="n">
        <v>1</v>
      </c>
    </row>
    <row r="69" customFormat="false" ht="68.65" hidden="false" customHeight="false" outlineLevel="0" collapsed="false">
      <c r="A69" s="5" t="s">
        <v>177</v>
      </c>
      <c r="B69" s="5" t="s">
        <v>24</v>
      </c>
      <c r="C69" s="5" t="s">
        <v>25</v>
      </c>
      <c r="D69" s="5" t="s">
        <v>178</v>
      </c>
      <c r="E69" s="5" t="s">
        <v>179</v>
      </c>
      <c r="F69" s="5" t="s">
        <v>173</v>
      </c>
      <c r="G69" s="5" t="n">
        <f aca="false">LEN(TRIM(D69))-LEN(SUBSTITUTE(TRIM(D69)," ",""))+1</f>
        <v>119</v>
      </c>
      <c r="H69" s="5" t="str">
        <f aca="false">IF(G69&lt;40,"short",IF(G69&lt;100,"medium",IF(G69&lt;=200,"long","very long")))</f>
        <v>long</v>
      </c>
      <c r="I69" s="5" t="s">
        <v>29</v>
      </c>
      <c r="J69" s="5" t="n">
        <v>1</v>
      </c>
    </row>
    <row r="70" customFormat="false" ht="35.05" hidden="false" customHeight="false" outlineLevel="0" collapsed="false">
      <c r="A70" s="5" t="s">
        <v>180</v>
      </c>
      <c r="B70" s="5" t="s">
        <v>24</v>
      </c>
      <c r="C70" s="5" t="s">
        <v>25</v>
      </c>
      <c r="D70" s="5" t="s">
        <v>181</v>
      </c>
      <c r="E70" s="5" t="s">
        <v>182</v>
      </c>
      <c r="F70" s="5" t="s">
        <v>173</v>
      </c>
      <c r="G70" s="5" t="n">
        <f aca="false">LEN(TRIM(D70))-LEN(SUBSTITUTE(TRIM(D70)," ",""))+1</f>
        <v>57</v>
      </c>
      <c r="H70" s="5" t="str">
        <f aca="false">IF(G70&lt;40,"short",IF(G70&lt;100,"medium",IF(G70&lt;=200,"long","very long")))</f>
        <v>medium</v>
      </c>
      <c r="I70" s="5" t="s">
        <v>29</v>
      </c>
      <c r="J70" s="5" t="n">
        <v>1</v>
      </c>
    </row>
    <row r="71" customFormat="false" ht="35.05" hidden="false" customHeight="false" outlineLevel="0" collapsed="false">
      <c r="A71" s="5" t="s">
        <v>183</v>
      </c>
      <c r="B71" s="5" t="s">
        <v>24</v>
      </c>
      <c r="C71" s="5" t="s">
        <v>25</v>
      </c>
      <c r="D71" s="5" t="s">
        <v>184</v>
      </c>
      <c r="E71" s="5" t="s">
        <v>185</v>
      </c>
      <c r="F71" s="5" t="s">
        <v>173</v>
      </c>
      <c r="G71" s="5" t="n">
        <f aca="false">LEN(TRIM(D71))-LEN(SUBSTITUTE(TRIM(D71)," ",""))+1</f>
        <v>48</v>
      </c>
      <c r="H71" s="5" t="str">
        <f aca="false">IF(G71&lt;40,"short",IF(G71&lt;100,"medium",IF(G71&lt;=200,"long","very long")))</f>
        <v>medium</v>
      </c>
      <c r="I71" s="5" t="s">
        <v>29</v>
      </c>
      <c r="J71" s="5" t="n">
        <v>1</v>
      </c>
    </row>
    <row r="72" customFormat="false" ht="57.45" hidden="false" customHeight="false" outlineLevel="0" collapsed="false">
      <c r="A72" s="5" t="s">
        <v>186</v>
      </c>
      <c r="B72" s="5" t="s">
        <v>24</v>
      </c>
      <c r="C72" s="5" t="s">
        <v>25</v>
      </c>
      <c r="D72" s="5" t="s">
        <v>187</v>
      </c>
      <c r="E72" s="5" t="s">
        <v>172</v>
      </c>
      <c r="F72" s="5" t="s">
        <v>173</v>
      </c>
      <c r="G72" s="5" t="n">
        <f aca="false">LEN(TRIM(D72))-LEN(SUBSTITUTE(TRIM(D72)," ",""))+1</f>
        <v>99</v>
      </c>
      <c r="H72" s="5" t="str">
        <f aca="false">IF(G72&lt;40,"short",IF(G72&lt;100,"medium",IF(G72&lt;=200,"long","very long")))</f>
        <v>medium</v>
      </c>
      <c r="I72" s="5" t="s">
        <v>29</v>
      </c>
      <c r="J72" s="5" t="n">
        <v>1</v>
      </c>
    </row>
    <row r="73" customFormat="false" ht="23.85" hidden="false" customHeight="false" outlineLevel="0" collapsed="false">
      <c r="A73" s="5" t="s">
        <v>188</v>
      </c>
      <c r="B73" s="5" t="s">
        <v>24</v>
      </c>
      <c r="C73" s="5" t="s">
        <v>25</v>
      </c>
      <c r="D73" s="5" t="s">
        <v>189</v>
      </c>
      <c r="E73" s="5" t="s">
        <v>190</v>
      </c>
      <c r="F73" s="5" t="s">
        <v>173</v>
      </c>
      <c r="G73" s="5" t="n">
        <f aca="false">LEN(TRIM(D73))-LEN(SUBSTITUTE(TRIM(D73)," ",""))+1</f>
        <v>44</v>
      </c>
      <c r="H73" s="5" t="str">
        <f aca="false">IF(G73&lt;40,"short",IF(G73&lt;100,"medium",IF(G73&lt;=200,"long","very long")))</f>
        <v>medium</v>
      </c>
      <c r="I73" s="5" t="s">
        <v>29</v>
      </c>
      <c r="J73" s="5" t="n">
        <v>1</v>
      </c>
    </row>
    <row r="74" customFormat="false" ht="46.25" hidden="false" customHeight="false" outlineLevel="0" collapsed="false">
      <c r="A74" s="5" t="s">
        <v>191</v>
      </c>
      <c r="B74" s="5" t="s">
        <v>24</v>
      </c>
      <c r="C74" s="5" t="s">
        <v>25</v>
      </c>
      <c r="D74" s="5" t="s">
        <v>192</v>
      </c>
      <c r="E74" s="5" t="s">
        <v>193</v>
      </c>
      <c r="F74" s="5" t="s">
        <v>173</v>
      </c>
      <c r="G74" s="5" t="n">
        <f aca="false">LEN(TRIM(D74))-LEN(SUBSTITUTE(TRIM(D74)," ",""))+1</f>
        <v>92</v>
      </c>
      <c r="H74" s="5" t="str">
        <f aca="false">IF(G74&lt;40,"short",IF(G74&lt;100,"medium",IF(G74&lt;=200,"long","very long")))</f>
        <v>medium</v>
      </c>
      <c r="I74" s="5" t="s">
        <v>29</v>
      </c>
      <c r="J74" s="5" t="n">
        <v>1</v>
      </c>
    </row>
    <row r="75" customFormat="false" ht="68.65" hidden="false" customHeight="false" outlineLevel="0" collapsed="false">
      <c r="A75" s="5" t="s">
        <v>194</v>
      </c>
      <c r="B75" s="5" t="s">
        <v>24</v>
      </c>
      <c r="C75" s="5" t="s">
        <v>25</v>
      </c>
      <c r="D75" s="5" t="s">
        <v>195</v>
      </c>
      <c r="E75" s="5" t="s">
        <v>196</v>
      </c>
      <c r="F75" s="5" t="s">
        <v>173</v>
      </c>
      <c r="G75" s="5" t="n">
        <f aca="false">LEN(TRIM(D75))-LEN(SUBSTITUTE(TRIM(D75)," ",""))+1</f>
        <v>121</v>
      </c>
      <c r="H75" s="5" t="str">
        <f aca="false">IF(G75&lt;40,"short",IF(G75&lt;100,"medium",IF(G75&lt;=200,"long","very long")))</f>
        <v>long</v>
      </c>
      <c r="I75" s="5" t="s">
        <v>29</v>
      </c>
      <c r="J75" s="5" t="n">
        <v>1</v>
      </c>
    </row>
    <row r="76" customFormat="false" ht="23.85" hidden="false" customHeight="false" outlineLevel="0" collapsed="false">
      <c r="A76" s="5" t="s">
        <v>197</v>
      </c>
      <c r="B76" s="5" t="s">
        <v>24</v>
      </c>
      <c r="C76" s="5" t="s">
        <v>25</v>
      </c>
      <c r="D76" s="5" t="s">
        <v>198</v>
      </c>
      <c r="E76" s="5" t="s">
        <v>199</v>
      </c>
      <c r="F76" s="5" t="s">
        <v>173</v>
      </c>
      <c r="G76" s="5" t="n">
        <f aca="false">LEN(TRIM(D76))-LEN(SUBSTITUTE(TRIM(D76)," ",""))+1</f>
        <v>39</v>
      </c>
      <c r="H76" s="5" t="str">
        <f aca="false">IF(G76&lt;40,"short",IF(G76&lt;100,"medium",IF(G76&lt;=200,"long","very long")))</f>
        <v>short</v>
      </c>
      <c r="I76" s="5" t="s">
        <v>29</v>
      </c>
      <c r="J76" s="5" t="n">
        <v>1</v>
      </c>
    </row>
    <row r="77" customFormat="false" ht="68.65" hidden="false" customHeight="false" outlineLevel="0" collapsed="false">
      <c r="A77" s="5" t="s">
        <v>200</v>
      </c>
      <c r="B77" s="5" t="s">
        <v>24</v>
      </c>
      <c r="C77" s="5" t="s">
        <v>25</v>
      </c>
      <c r="D77" s="5" t="s">
        <v>201</v>
      </c>
      <c r="E77" s="5" t="s">
        <v>202</v>
      </c>
      <c r="F77" s="5" t="s">
        <v>173</v>
      </c>
      <c r="G77" s="5" t="n">
        <f aca="false">LEN(TRIM(D77))-LEN(SUBSTITUTE(TRIM(D77)," ",""))+1</f>
        <v>116</v>
      </c>
      <c r="H77" s="5" t="str">
        <f aca="false">IF(G77&lt;40,"short",IF(G77&lt;100,"medium",IF(G77&lt;=200,"long","very long")))</f>
        <v>long</v>
      </c>
      <c r="I77" s="5" t="s">
        <v>29</v>
      </c>
      <c r="J77" s="5" t="n">
        <v>1</v>
      </c>
    </row>
    <row r="78" customFormat="false" ht="113.4" hidden="false" customHeight="false" outlineLevel="0" collapsed="false">
      <c r="A78" s="5" t="s">
        <v>203</v>
      </c>
      <c r="B78" s="5" t="s">
        <v>24</v>
      </c>
      <c r="C78" s="5" t="s">
        <v>25</v>
      </c>
      <c r="D78" s="5" t="s">
        <v>204</v>
      </c>
      <c r="E78" s="5" t="s">
        <v>205</v>
      </c>
      <c r="F78" s="5" t="s">
        <v>173</v>
      </c>
      <c r="G78" s="5" t="n">
        <f aca="false">LEN(TRIM(D78))-LEN(SUBSTITUTE(TRIM(D78)," ",""))+1</f>
        <v>210</v>
      </c>
      <c r="H78" s="5" t="str">
        <f aca="false">IF(G78&lt;40,"short",IF(G78&lt;100,"medium",IF(G78&lt;=200,"long","very long")))</f>
        <v>very long</v>
      </c>
      <c r="I78" s="5" t="s">
        <v>29</v>
      </c>
      <c r="J78" s="5" t="n">
        <v>1</v>
      </c>
    </row>
    <row r="79" customFormat="false" ht="35.05" hidden="false" customHeight="false" outlineLevel="0" collapsed="false">
      <c r="A79" s="5" t="s">
        <v>206</v>
      </c>
      <c r="B79" s="5" t="s">
        <v>24</v>
      </c>
      <c r="C79" s="5" t="s">
        <v>25</v>
      </c>
      <c r="D79" s="5" t="s">
        <v>207</v>
      </c>
      <c r="E79" s="5" t="s">
        <v>172</v>
      </c>
      <c r="F79" s="5" t="s">
        <v>173</v>
      </c>
      <c r="G79" s="5" t="n">
        <f aca="false">LEN(TRIM(D79))-LEN(SUBSTITUTE(TRIM(D79)," ",""))+1</f>
        <v>48</v>
      </c>
      <c r="H79" s="5" t="str">
        <f aca="false">IF(G79&lt;40,"short",IF(G79&lt;100,"medium",IF(G79&lt;=200,"long","very long")))</f>
        <v>medium</v>
      </c>
      <c r="I79" s="5" t="s">
        <v>29</v>
      </c>
      <c r="J79" s="5" t="n">
        <v>1</v>
      </c>
    </row>
    <row r="80" customFormat="false" ht="35.05" hidden="false" customHeight="false" outlineLevel="0" collapsed="false">
      <c r="A80" s="5" t="s">
        <v>208</v>
      </c>
      <c r="B80" s="5" t="s">
        <v>24</v>
      </c>
      <c r="C80" s="5" t="s">
        <v>25</v>
      </c>
      <c r="D80" s="5" t="s">
        <v>209</v>
      </c>
      <c r="E80" s="5" t="s">
        <v>210</v>
      </c>
      <c r="F80" s="5" t="s">
        <v>173</v>
      </c>
      <c r="G80" s="5" t="n">
        <f aca="false">LEN(TRIM(D80))-LEN(SUBSTITUTE(TRIM(D80)," ",""))+1</f>
        <v>48</v>
      </c>
      <c r="H80" s="5" t="str">
        <f aca="false">IF(G80&lt;40,"short",IF(G80&lt;100,"medium",IF(G80&lt;=200,"long","very long")))</f>
        <v>medium</v>
      </c>
      <c r="I80" s="5" t="s">
        <v>29</v>
      </c>
      <c r="J80" s="5" t="n">
        <v>1</v>
      </c>
    </row>
    <row r="81" customFormat="false" ht="35.05" hidden="false" customHeight="false" outlineLevel="0" collapsed="false">
      <c r="A81" s="5" t="s">
        <v>211</v>
      </c>
      <c r="B81" s="5" t="s">
        <v>24</v>
      </c>
      <c r="C81" s="5" t="s">
        <v>25</v>
      </c>
      <c r="D81" s="5" t="s">
        <v>212</v>
      </c>
      <c r="E81" s="5" t="s">
        <v>213</v>
      </c>
      <c r="F81" s="5" t="s">
        <v>173</v>
      </c>
      <c r="G81" s="5" t="n">
        <f aca="false">LEN(TRIM(D81))-LEN(SUBSTITUTE(TRIM(D81)," ",""))+1</f>
        <v>46</v>
      </c>
      <c r="H81" s="5" t="str">
        <f aca="false">IF(G81&lt;40,"short",IF(G81&lt;100,"medium",IF(G81&lt;=200,"long","very long")))</f>
        <v>medium</v>
      </c>
      <c r="I81" s="5" t="s">
        <v>29</v>
      </c>
      <c r="J81" s="5" t="n">
        <v>1</v>
      </c>
    </row>
    <row r="82" customFormat="false" ht="46.25" hidden="false" customHeight="false" outlineLevel="0" collapsed="false">
      <c r="A82" s="5" t="s">
        <v>214</v>
      </c>
      <c r="B82" s="5" t="s">
        <v>24</v>
      </c>
      <c r="C82" s="5" t="s">
        <v>25</v>
      </c>
      <c r="D82" s="5" t="s">
        <v>215</v>
      </c>
      <c r="E82" s="5" t="s">
        <v>179</v>
      </c>
      <c r="F82" s="5" t="s">
        <v>173</v>
      </c>
      <c r="G82" s="5" t="n">
        <f aca="false">LEN(TRIM(D82))-LEN(SUBSTITUTE(TRIM(D82)," ",""))+1</f>
        <v>77</v>
      </c>
      <c r="H82" s="5" t="str">
        <f aca="false">IF(G82&lt;40,"short",IF(G82&lt;100,"medium",IF(G82&lt;=200,"long","very long")))</f>
        <v>medium</v>
      </c>
      <c r="I82" s="5" t="s">
        <v>29</v>
      </c>
      <c r="J82" s="5" t="n">
        <v>1</v>
      </c>
    </row>
    <row r="83" customFormat="false" ht="35.05" hidden="false" customHeight="false" outlineLevel="0" collapsed="false">
      <c r="A83" s="5" t="s">
        <v>216</v>
      </c>
      <c r="B83" s="5" t="s">
        <v>24</v>
      </c>
      <c r="C83" s="5" t="s">
        <v>25</v>
      </c>
      <c r="D83" s="5" t="s">
        <v>217</v>
      </c>
      <c r="E83" s="5" t="s">
        <v>172</v>
      </c>
      <c r="F83" s="5" t="s">
        <v>173</v>
      </c>
      <c r="G83" s="5" t="n">
        <f aca="false">LEN(TRIM(D83))-LEN(SUBSTITUTE(TRIM(D83)," ",""))+1</f>
        <v>60</v>
      </c>
      <c r="H83" s="5" t="str">
        <f aca="false">IF(G83&lt;40,"short",IF(G83&lt;100,"medium",IF(G83&lt;=200,"long","very long")))</f>
        <v>medium</v>
      </c>
      <c r="I83" s="5" t="s">
        <v>29</v>
      </c>
      <c r="J83" s="5" t="n">
        <v>1</v>
      </c>
    </row>
    <row r="84" customFormat="false" ht="57.45" hidden="false" customHeight="false" outlineLevel="0" collapsed="false">
      <c r="A84" s="5" t="s">
        <v>218</v>
      </c>
      <c r="B84" s="5" t="s">
        <v>24</v>
      </c>
      <c r="C84" s="5" t="s">
        <v>25</v>
      </c>
      <c r="D84" s="5" t="s">
        <v>219</v>
      </c>
      <c r="E84" s="5" t="s">
        <v>176</v>
      </c>
      <c r="F84" s="5" t="s">
        <v>173</v>
      </c>
      <c r="G84" s="5" t="n">
        <f aca="false">LEN(TRIM(D84))-LEN(SUBSTITUTE(TRIM(D84)," ",""))+1</f>
        <v>109</v>
      </c>
      <c r="H84" s="5" t="str">
        <f aca="false">IF(G84&lt;40,"short",IF(G84&lt;100,"medium",IF(G84&lt;=200,"long","very long")))</f>
        <v>long</v>
      </c>
      <c r="I84" s="5" t="s">
        <v>29</v>
      </c>
      <c r="J84" s="5" t="n">
        <v>1</v>
      </c>
    </row>
    <row r="85" customFormat="false" ht="23.85" hidden="false" customHeight="false" outlineLevel="0" collapsed="false">
      <c r="A85" s="5" t="s">
        <v>220</v>
      </c>
      <c r="B85" s="5" t="s">
        <v>24</v>
      </c>
      <c r="C85" s="5" t="s">
        <v>25</v>
      </c>
      <c r="D85" s="5" t="s">
        <v>221</v>
      </c>
      <c r="E85" s="5" t="s">
        <v>222</v>
      </c>
      <c r="F85" s="5" t="s">
        <v>173</v>
      </c>
      <c r="G85" s="5" t="n">
        <f aca="false">LEN(TRIM(D85))-LEN(SUBSTITUTE(TRIM(D85)," ",""))+1</f>
        <v>42</v>
      </c>
      <c r="H85" s="5" t="str">
        <f aca="false">IF(G85&lt;40,"short",IF(G85&lt;100,"medium",IF(G85&lt;=200,"long","very long")))</f>
        <v>medium</v>
      </c>
      <c r="I85" s="5" t="s">
        <v>29</v>
      </c>
      <c r="J85" s="5" t="n">
        <v>1</v>
      </c>
    </row>
    <row r="86" customFormat="false" ht="35.05" hidden="false" customHeight="false" outlineLevel="0" collapsed="false">
      <c r="A86" s="5" t="s">
        <v>223</v>
      </c>
      <c r="B86" s="5" t="s">
        <v>24</v>
      </c>
      <c r="C86" s="5" t="s">
        <v>25</v>
      </c>
      <c r="D86" s="5" t="s">
        <v>224</v>
      </c>
      <c r="E86" s="5" t="s">
        <v>225</v>
      </c>
      <c r="F86" s="5" t="s">
        <v>173</v>
      </c>
      <c r="G86" s="5" t="n">
        <f aca="false">LEN(TRIM(D86))-LEN(SUBSTITUTE(TRIM(D86)," ",""))+1</f>
        <v>54</v>
      </c>
      <c r="H86" s="5" t="str">
        <f aca="false">IF(G86&lt;40,"short",IF(G86&lt;100,"medium",IF(G86&lt;=200,"long","very long")))</f>
        <v>medium</v>
      </c>
      <c r="I86" s="5" t="s">
        <v>29</v>
      </c>
      <c r="J86" s="5" t="n">
        <v>1</v>
      </c>
    </row>
    <row r="87" customFormat="false" ht="35.05" hidden="false" customHeight="false" outlineLevel="0" collapsed="false">
      <c r="A87" s="5" t="s">
        <v>226</v>
      </c>
      <c r="B87" s="5" t="s">
        <v>24</v>
      </c>
      <c r="C87" s="5" t="s">
        <v>25</v>
      </c>
      <c r="D87" s="5" t="s">
        <v>227</v>
      </c>
      <c r="E87" s="5" t="s">
        <v>172</v>
      </c>
      <c r="F87" s="5" t="s">
        <v>228</v>
      </c>
      <c r="G87" s="5" t="n">
        <f aca="false">LEN(TRIM(D87))-LEN(SUBSTITUTE(TRIM(D87)," ",""))+1</f>
        <v>45</v>
      </c>
      <c r="H87" s="5" t="str">
        <f aca="false">IF(G87&lt;40,"short",IF(G87&lt;100,"medium",IF(G87&lt;=200,"long","very long")))</f>
        <v>medium</v>
      </c>
      <c r="I87" s="5" t="s">
        <v>29</v>
      </c>
      <c r="J87" s="5" t="n">
        <v>1</v>
      </c>
    </row>
    <row r="88" customFormat="false" ht="23.85" hidden="false" customHeight="false" outlineLevel="0" collapsed="false">
      <c r="A88" s="5" t="s">
        <v>229</v>
      </c>
      <c r="B88" s="5" t="s">
        <v>24</v>
      </c>
      <c r="C88" s="5" t="s">
        <v>25</v>
      </c>
      <c r="D88" s="5" t="s">
        <v>230</v>
      </c>
      <c r="E88" s="5" t="s">
        <v>176</v>
      </c>
      <c r="F88" s="5" t="s">
        <v>228</v>
      </c>
      <c r="G88" s="5" t="n">
        <f aca="false">LEN(TRIM(D88))-LEN(SUBSTITUTE(TRIM(D88)," ",""))+1</f>
        <v>36</v>
      </c>
      <c r="H88" s="5" t="str">
        <f aca="false">IF(G88&lt;40,"short",IF(G88&lt;100,"medium",IF(G88&lt;=200,"long","very long")))</f>
        <v>short</v>
      </c>
      <c r="I88" s="5" t="s">
        <v>29</v>
      </c>
      <c r="J88" s="5" t="n">
        <v>1</v>
      </c>
    </row>
    <row r="89" customFormat="false" ht="23.85" hidden="false" customHeight="false" outlineLevel="0" collapsed="false">
      <c r="A89" s="5" t="s">
        <v>231</v>
      </c>
      <c r="B89" s="5" t="s">
        <v>24</v>
      </c>
      <c r="C89" s="5" t="s">
        <v>25</v>
      </c>
      <c r="D89" s="5" t="s">
        <v>232</v>
      </c>
      <c r="E89" s="5" t="s">
        <v>172</v>
      </c>
      <c r="F89" s="5" t="s">
        <v>228</v>
      </c>
      <c r="G89" s="5" t="n">
        <f aca="false">LEN(TRIM(D89))-LEN(SUBSTITUTE(TRIM(D89)," ",""))+1</f>
        <v>35</v>
      </c>
      <c r="H89" s="5" t="str">
        <f aca="false">IF(G89&lt;40,"short",IF(G89&lt;100,"medium",IF(G89&lt;=200,"long","very long")))</f>
        <v>short</v>
      </c>
      <c r="I89" s="5" t="s">
        <v>29</v>
      </c>
      <c r="J89" s="5" t="n">
        <v>1</v>
      </c>
    </row>
    <row r="90" customFormat="false" ht="35.05" hidden="false" customHeight="false" outlineLevel="0" collapsed="false">
      <c r="A90" s="5" t="s">
        <v>233</v>
      </c>
      <c r="B90" s="5" t="s">
        <v>24</v>
      </c>
      <c r="C90" s="5" t="s">
        <v>25</v>
      </c>
      <c r="D90" s="5" t="s">
        <v>234</v>
      </c>
      <c r="E90" s="5" t="s">
        <v>235</v>
      </c>
      <c r="F90" s="5" t="s">
        <v>228</v>
      </c>
      <c r="G90" s="5" t="n">
        <f aca="false">LEN(TRIM(D90))-LEN(SUBSTITUTE(TRIM(D90)," ",""))+1</f>
        <v>53</v>
      </c>
      <c r="H90" s="5" t="str">
        <f aca="false">IF(G90&lt;40,"short",IF(G90&lt;100,"medium",IF(G90&lt;=200,"long","very long")))</f>
        <v>medium</v>
      </c>
      <c r="I90" s="5" t="s">
        <v>29</v>
      </c>
      <c r="J90" s="5" t="n">
        <v>1</v>
      </c>
    </row>
    <row r="91" customFormat="false" ht="35.05" hidden="false" customHeight="false" outlineLevel="0" collapsed="false">
      <c r="A91" s="5" t="s">
        <v>236</v>
      </c>
      <c r="B91" s="5" t="s">
        <v>24</v>
      </c>
      <c r="C91" s="5" t="s">
        <v>25</v>
      </c>
      <c r="D91" s="5" t="s">
        <v>237</v>
      </c>
      <c r="E91" s="5" t="s">
        <v>238</v>
      </c>
      <c r="F91" s="5" t="s">
        <v>228</v>
      </c>
      <c r="G91" s="5" t="n">
        <f aca="false">LEN(TRIM(D91))-LEN(SUBSTITUTE(TRIM(D91)," ",""))+1</f>
        <v>54</v>
      </c>
      <c r="H91" s="5" t="str">
        <f aca="false">IF(G91&lt;40,"short",IF(G91&lt;100,"medium",IF(G91&lt;=200,"long","very long")))</f>
        <v>medium</v>
      </c>
      <c r="I91" s="5" t="s">
        <v>29</v>
      </c>
      <c r="J91" s="5" t="n">
        <v>1</v>
      </c>
    </row>
    <row r="92" customFormat="false" ht="15" hidden="false" customHeight="false" outlineLevel="0" collapsed="false">
      <c r="A92" s="5" t="s">
        <v>239</v>
      </c>
      <c r="B92" s="5" t="s">
        <v>24</v>
      </c>
      <c r="C92" s="5" t="s">
        <v>25</v>
      </c>
      <c r="D92" s="5" t="s">
        <v>240</v>
      </c>
      <c r="E92" s="5" t="s">
        <v>38</v>
      </c>
      <c r="F92" s="5" t="s">
        <v>241</v>
      </c>
      <c r="G92" s="5" t="n">
        <f aca="false">LEN(TRIM(D92))-LEN(SUBSTITUTE(TRIM(D92)," ",""))+1</f>
        <v>6</v>
      </c>
      <c r="H92" s="5" t="str">
        <f aca="false">IF(G92&lt;40,"short",IF(G92&lt;100,"medium",IF(G92&lt;=200,"long","very long")))</f>
        <v>short</v>
      </c>
      <c r="I92" s="5" t="s">
        <v>29</v>
      </c>
      <c r="J92" s="5" t="n">
        <v>1</v>
      </c>
    </row>
    <row r="93" customFormat="false" ht="15" hidden="false" customHeight="false" outlineLevel="0" collapsed="false">
      <c r="A93" s="5" t="s">
        <v>242</v>
      </c>
      <c r="B93" s="5" t="s">
        <v>24</v>
      </c>
      <c r="C93" s="5" t="s">
        <v>25</v>
      </c>
      <c r="D93" s="5" t="s">
        <v>243</v>
      </c>
      <c r="E93" s="5" t="s">
        <v>35</v>
      </c>
      <c r="F93" s="5" t="s">
        <v>241</v>
      </c>
      <c r="G93" s="5" t="n">
        <f aca="false">LEN(TRIM(D93))-LEN(SUBSTITUTE(TRIM(D93)," ",""))+1</f>
        <v>8</v>
      </c>
      <c r="H93" s="5" t="str">
        <f aca="false">IF(G93&lt;40,"short",IF(G93&lt;100,"medium",IF(G93&lt;=200,"long","very long")))</f>
        <v>short</v>
      </c>
      <c r="I93" s="5" t="s">
        <v>29</v>
      </c>
      <c r="J93" s="5" t="n">
        <v>1</v>
      </c>
    </row>
    <row r="94" customFormat="false" ht="15" hidden="false" customHeight="false" outlineLevel="0" collapsed="false">
      <c r="A94" s="5" t="s">
        <v>244</v>
      </c>
      <c r="B94" s="5" t="s">
        <v>24</v>
      </c>
      <c r="C94" s="5" t="s">
        <v>25</v>
      </c>
      <c r="D94" s="5" t="s">
        <v>245</v>
      </c>
      <c r="E94" s="5" t="s">
        <v>54</v>
      </c>
      <c r="F94" s="5" t="s">
        <v>241</v>
      </c>
      <c r="G94" s="5" t="n">
        <f aca="false">LEN(TRIM(D94))-LEN(SUBSTITUTE(TRIM(D94)," ",""))+1</f>
        <v>6</v>
      </c>
      <c r="H94" s="5" t="str">
        <f aca="false">IF(G94&lt;40,"short",IF(G94&lt;100,"medium",IF(G94&lt;=200,"long","very long")))</f>
        <v>short</v>
      </c>
      <c r="I94" s="5" t="s">
        <v>29</v>
      </c>
      <c r="J94" s="5" t="n">
        <v>1</v>
      </c>
    </row>
    <row r="95" customFormat="false" ht="15" hidden="false" customHeight="false" outlineLevel="0" collapsed="false">
      <c r="A95" s="5" t="s">
        <v>246</v>
      </c>
      <c r="B95" s="5" t="s">
        <v>24</v>
      </c>
      <c r="C95" s="5" t="s">
        <v>25</v>
      </c>
      <c r="D95" s="5" t="s">
        <v>247</v>
      </c>
      <c r="E95" s="5" t="s">
        <v>32</v>
      </c>
      <c r="F95" s="5" t="s">
        <v>241</v>
      </c>
      <c r="G95" s="5" t="n">
        <f aca="false">LEN(TRIM(D95))-LEN(SUBSTITUTE(TRIM(D95)," ",""))+1</f>
        <v>6</v>
      </c>
      <c r="H95" s="5" t="str">
        <f aca="false">IF(G95&lt;40,"short",IF(G95&lt;100,"medium",IF(G95&lt;=200,"long","very long")))</f>
        <v>short</v>
      </c>
      <c r="I95" s="5" t="s">
        <v>29</v>
      </c>
      <c r="J95" s="5" t="n">
        <v>1</v>
      </c>
    </row>
    <row r="96" customFormat="false" ht="15" hidden="false" customHeight="false" outlineLevel="0" collapsed="false">
      <c r="A96" s="5" t="s">
        <v>248</v>
      </c>
      <c r="B96" s="5" t="s">
        <v>24</v>
      </c>
      <c r="C96" s="5" t="s">
        <v>25</v>
      </c>
      <c r="D96" s="5" t="s">
        <v>249</v>
      </c>
      <c r="E96" s="5" t="s">
        <v>49</v>
      </c>
      <c r="F96" s="5" t="s">
        <v>241</v>
      </c>
      <c r="G96" s="5" t="n">
        <f aca="false">LEN(TRIM(D96))-LEN(SUBSTITUTE(TRIM(D96)," ",""))+1</f>
        <v>10</v>
      </c>
      <c r="H96" s="5" t="str">
        <f aca="false">IF(G96&lt;40,"short",IF(G96&lt;100,"medium",IF(G96&lt;=200,"long","very long")))</f>
        <v>short</v>
      </c>
      <c r="I96" s="5" t="s">
        <v>29</v>
      </c>
      <c r="J96" s="5" t="n">
        <v>1</v>
      </c>
    </row>
    <row r="97" customFormat="false" ht="35.05" hidden="false" customHeight="false" outlineLevel="0" collapsed="false">
      <c r="A97" s="5" t="s">
        <v>250</v>
      </c>
      <c r="B97" s="5" t="s">
        <v>24</v>
      </c>
      <c r="C97" s="5" t="s">
        <v>25</v>
      </c>
      <c r="D97" s="5" t="s">
        <v>251</v>
      </c>
      <c r="E97" s="5" t="s">
        <v>252</v>
      </c>
      <c r="F97" s="5" t="s">
        <v>253</v>
      </c>
      <c r="G97" s="5" t="n">
        <f aca="false">LEN(TRIM(D97))-LEN(SUBSTITUTE(TRIM(D97)," ",""))+1</f>
        <v>50</v>
      </c>
      <c r="H97" s="5" t="str">
        <f aca="false">IF(G97&lt;40,"short",IF(G97&lt;100,"medium",IF(G97&lt;=200,"long","very long")))</f>
        <v>medium</v>
      </c>
      <c r="I97" s="5" t="s">
        <v>29</v>
      </c>
      <c r="J97" s="5" t="n">
        <v>1</v>
      </c>
    </row>
    <row r="98" customFormat="false" ht="23.85" hidden="false" customHeight="false" outlineLevel="0" collapsed="false">
      <c r="A98" s="5" t="s">
        <v>254</v>
      </c>
      <c r="B98" s="5" t="s">
        <v>24</v>
      </c>
      <c r="C98" s="5" t="s">
        <v>25</v>
      </c>
      <c r="D98" s="5" t="s">
        <v>255</v>
      </c>
      <c r="E98" s="5" t="s">
        <v>252</v>
      </c>
      <c r="F98" s="5" t="s">
        <v>253</v>
      </c>
      <c r="G98" s="5" t="n">
        <f aca="false">LEN(TRIM(D98))-LEN(SUBSTITUTE(TRIM(D98)," ",""))+1</f>
        <v>41</v>
      </c>
      <c r="H98" s="5" t="str">
        <f aca="false">IF(G98&lt;40,"short",IF(G98&lt;100,"medium",IF(G98&lt;=200,"long","very long")))</f>
        <v>medium</v>
      </c>
      <c r="I98" s="5" t="s">
        <v>29</v>
      </c>
      <c r="J98" s="5" t="n">
        <v>1</v>
      </c>
    </row>
    <row r="99" customFormat="false" ht="23.85" hidden="false" customHeight="false" outlineLevel="0" collapsed="false">
      <c r="A99" s="5" t="s">
        <v>256</v>
      </c>
      <c r="B99" s="5" t="s">
        <v>24</v>
      </c>
      <c r="C99" s="5" t="s">
        <v>25</v>
      </c>
      <c r="D99" s="5" t="s">
        <v>257</v>
      </c>
      <c r="E99" s="5" t="s">
        <v>252</v>
      </c>
      <c r="F99" s="5" t="s">
        <v>253</v>
      </c>
      <c r="G99" s="5" t="n">
        <f aca="false">LEN(TRIM(D99))-LEN(SUBSTITUTE(TRIM(D99)," ",""))+1</f>
        <v>38</v>
      </c>
      <c r="H99" s="5" t="str">
        <f aca="false">IF(G99&lt;40,"short",IF(G99&lt;100,"medium",IF(G99&lt;=200,"long","very long")))</f>
        <v>short</v>
      </c>
      <c r="I99" s="5" t="s">
        <v>29</v>
      </c>
      <c r="J99" s="5" t="n">
        <v>1</v>
      </c>
    </row>
    <row r="100" customFormat="false" ht="35.05" hidden="false" customHeight="false" outlineLevel="0" collapsed="false">
      <c r="A100" s="5" t="s">
        <v>258</v>
      </c>
      <c r="B100" s="5" t="s">
        <v>24</v>
      </c>
      <c r="C100" s="5" t="s">
        <v>25</v>
      </c>
      <c r="D100" s="5" t="s">
        <v>259</v>
      </c>
      <c r="E100" s="5" t="s">
        <v>252</v>
      </c>
      <c r="F100" s="5" t="s">
        <v>253</v>
      </c>
      <c r="G100" s="5" t="n">
        <f aca="false">LEN(TRIM(D100))-LEN(SUBSTITUTE(TRIM(D100)," ",""))+1</f>
        <v>44</v>
      </c>
      <c r="H100" s="5" t="str">
        <f aca="false">IF(G100&lt;40,"short",IF(G100&lt;100,"medium",IF(G100&lt;=200,"long","very long")))</f>
        <v>medium</v>
      </c>
      <c r="I100" s="5" t="s">
        <v>29</v>
      </c>
      <c r="J100" s="5" t="n">
        <v>1</v>
      </c>
    </row>
    <row r="101" customFormat="false" ht="23.85" hidden="false" customHeight="false" outlineLevel="0" collapsed="false">
      <c r="A101" s="5" t="s">
        <v>260</v>
      </c>
      <c r="B101" s="5" t="s">
        <v>24</v>
      </c>
      <c r="C101" s="5" t="s">
        <v>25</v>
      </c>
      <c r="D101" s="5" t="s">
        <v>261</v>
      </c>
      <c r="E101" s="5" t="s">
        <v>252</v>
      </c>
      <c r="F101" s="5" t="s">
        <v>253</v>
      </c>
      <c r="G101" s="5" t="n">
        <f aca="false">LEN(TRIM(D101))-LEN(SUBSTITUTE(TRIM(D101)," ",""))+1</f>
        <v>35</v>
      </c>
      <c r="H101" s="5" t="str">
        <f aca="false">IF(G101&lt;40,"short",IF(G101&lt;100,"medium",IF(G101&lt;=200,"long","very long")))</f>
        <v>short</v>
      </c>
      <c r="I101" s="5" t="s">
        <v>29</v>
      </c>
      <c r="J101" s="5" t="n">
        <v>1</v>
      </c>
    </row>
    <row r="102" customFormat="false" ht="35.05" hidden="false" customHeight="false" outlineLevel="0" collapsed="false">
      <c r="A102" s="5" t="s">
        <v>262</v>
      </c>
      <c r="B102" s="5" t="s">
        <v>24</v>
      </c>
      <c r="C102" s="5" t="s">
        <v>25</v>
      </c>
      <c r="D102" s="5" t="s">
        <v>263</v>
      </c>
      <c r="E102" s="5" t="s">
        <v>54</v>
      </c>
      <c r="F102" s="5" t="s">
        <v>28</v>
      </c>
      <c r="G102" s="5" t="n">
        <f aca="false">LEN(TRIM(D102))-LEN(SUBSTITUTE(TRIM(D102)," ",""))+1</f>
        <v>64</v>
      </c>
      <c r="H102" s="5" t="str">
        <f aca="false">IF(G102&lt;40,"short",IF(G102&lt;100,"medium",IF(G102&lt;=200,"long","very long")))</f>
        <v>medium</v>
      </c>
      <c r="I102" s="5" t="s">
        <v>29</v>
      </c>
      <c r="J102" s="5" t="n">
        <v>2</v>
      </c>
    </row>
    <row r="103" customFormat="false" ht="68.65" hidden="false" customHeight="false" outlineLevel="0" collapsed="false">
      <c r="A103" s="5" t="s">
        <v>264</v>
      </c>
      <c r="B103" s="5" t="s">
        <v>24</v>
      </c>
      <c r="C103" s="5" t="s">
        <v>25</v>
      </c>
      <c r="D103" s="5" t="s">
        <v>265</v>
      </c>
      <c r="E103" s="5" t="s">
        <v>43</v>
      </c>
      <c r="F103" s="5" t="s">
        <v>28</v>
      </c>
      <c r="G103" s="5" t="n">
        <f aca="false">LEN(TRIM(D103))-LEN(SUBSTITUTE(TRIM(D103)," ",""))+1</f>
        <v>121</v>
      </c>
      <c r="H103" s="5" t="str">
        <f aca="false">IF(G103&lt;40,"short",IF(G103&lt;100,"medium",IF(G103&lt;=200,"long","very long")))</f>
        <v>long</v>
      </c>
      <c r="I103" s="5" t="s">
        <v>29</v>
      </c>
      <c r="J103" s="5" t="n">
        <v>2</v>
      </c>
    </row>
    <row r="104" customFormat="false" ht="35.05" hidden="false" customHeight="false" outlineLevel="0" collapsed="false">
      <c r="A104" s="5" t="s">
        <v>266</v>
      </c>
      <c r="B104" s="5" t="s">
        <v>24</v>
      </c>
      <c r="C104" s="5" t="s">
        <v>25</v>
      </c>
      <c r="D104" s="5" t="s">
        <v>267</v>
      </c>
      <c r="E104" s="5" t="s">
        <v>35</v>
      </c>
      <c r="F104" s="5" t="s">
        <v>28</v>
      </c>
      <c r="G104" s="5" t="n">
        <f aca="false">LEN(TRIM(D104))-LEN(SUBSTITUTE(TRIM(D104)," ",""))+1</f>
        <v>52</v>
      </c>
      <c r="H104" s="5" t="str">
        <f aca="false">IF(G104&lt;40,"short",IF(G104&lt;100,"medium",IF(G104&lt;=200,"long","very long")))</f>
        <v>medium</v>
      </c>
      <c r="I104" s="5" t="s">
        <v>29</v>
      </c>
      <c r="J104" s="5" t="n">
        <v>2</v>
      </c>
    </row>
    <row r="105" customFormat="false" ht="35.05" hidden="false" customHeight="false" outlineLevel="0" collapsed="false">
      <c r="A105" s="5" t="s">
        <v>268</v>
      </c>
      <c r="B105" s="5" t="s">
        <v>24</v>
      </c>
      <c r="C105" s="5" t="s">
        <v>25</v>
      </c>
      <c r="D105" s="5" t="s">
        <v>269</v>
      </c>
      <c r="E105" s="5" t="s">
        <v>67</v>
      </c>
      <c r="F105" s="5" t="s">
        <v>28</v>
      </c>
      <c r="G105" s="5" t="n">
        <f aca="false">LEN(TRIM(D105))-LEN(SUBSTITUTE(TRIM(D105)," ",""))+1</f>
        <v>50</v>
      </c>
      <c r="H105" s="5" t="str">
        <f aca="false">IF(G105&lt;40,"short",IF(G105&lt;100,"medium",IF(G105&lt;=200,"long","very long")))</f>
        <v>medium</v>
      </c>
      <c r="I105" s="5" t="s">
        <v>29</v>
      </c>
      <c r="J105" s="5" t="n">
        <v>2</v>
      </c>
    </row>
    <row r="106" customFormat="false" ht="57.45" hidden="false" customHeight="false" outlineLevel="0" collapsed="false">
      <c r="A106" s="5" t="s">
        <v>270</v>
      </c>
      <c r="B106" s="5" t="s">
        <v>24</v>
      </c>
      <c r="C106" s="5" t="s">
        <v>25</v>
      </c>
      <c r="D106" s="5" t="s">
        <v>271</v>
      </c>
      <c r="E106" s="5" t="s">
        <v>27</v>
      </c>
      <c r="F106" s="5" t="s">
        <v>28</v>
      </c>
      <c r="G106" s="5" t="n">
        <f aca="false">LEN(TRIM(D106))-LEN(SUBSTITUTE(TRIM(D106)," ",""))+1</f>
        <v>101</v>
      </c>
      <c r="H106" s="5" t="str">
        <f aca="false">IF(G106&lt;40,"short",IF(G106&lt;100,"medium",IF(G106&lt;=200,"long","very long")))</f>
        <v>long</v>
      </c>
      <c r="I106" s="5" t="s">
        <v>29</v>
      </c>
      <c r="J106" s="5" t="n">
        <v>2</v>
      </c>
    </row>
    <row r="107" customFormat="false" ht="35.05" hidden="false" customHeight="false" outlineLevel="0" collapsed="false">
      <c r="A107" s="5" t="s">
        <v>272</v>
      </c>
      <c r="B107" s="5" t="s">
        <v>24</v>
      </c>
      <c r="C107" s="5" t="s">
        <v>25</v>
      </c>
      <c r="D107" s="5" t="s">
        <v>273</v>
      </c>
      <c r="E107" s="5" t="s">
        <v>38</v>
      </c>
      <c r="F107" s="5" t="s">
        <v>28</v>
      </c>
      <c r="G107" s="5" t="n">
        <f aca="false">LEN(TRIM(D107))-LEN(SUBSTITUTE(TRIM(D107)," ",""))+1</f>
        <v>54</v>
      </c>
      <c r="H107" s="5" t="str">
        <f aca="false">IF(G107&lt;40,"short",IF(G107&lt;100,"medium",IF(G107&lt;=200,"long","very long")))</f>
        <v>medium</v>
      </c>
      <c r="I107" s="5" t="s">
        <v>29</v>
      </c>
      <c r="J107" s="5" t="n">
        <v>2</v>
      </c>
    </row>
    <row r="108" customFormat="false" ht="23.85" hidden="false" customHeight="false" outlineLevel="0" collapsed="false">
      <c r="A108" s="5" t="s">
        <v>274</v>
      </c>
      <c r="B108" s="5" t="s">
        <v>24</v>
      </c>
      <c r="C108" s="5" t="s">
        <v>25</v>
      </c>
      <c r="D108" s="5" t="s">
        <v>275</v>
      </c>
      <c r="E108" s="5" t="s">
        <v>46</v>
      </c>
      <c r="F108" s="5" t="s">
        <v>28</v>
      </c>
      <c r="G108" s="5" t="n">
        <f aca="false">LEN(TRIM(D108))-LEN(SUBSTITUTE(TRIM(D108)," ",""))+1</f>
        <v>46</v>
      </c>
      <c r="H108" s="5" t="str">
        <f aca="false">IF(G108&lt;40,"short",IF(G108&lt;100,"medium",IF(G108&lt;=200,"long","very long")))</f>
        <v>medium</v>
      </c>
      <c r="I108" s="5" t="s">
        <v>29</v>
      </c>
      <c r="J108" s="5" t="n">
        <v>2</v>
      </c>
    </row>
    <row r="109" customFormat="false" ht="35.05" hidden="false" customHeight="false" outlineLevel="0" collapsed="false">
      <c r="A109" s="5" t="s">
        <v>276</v>
      </c>
      <c r="B109" s="5" t="s">
        <v>24</v>
      </c>
      <c r="C109" s="5" t="s">
        <v>25</v>
      </c>
      <c r="D109" s="5" t="s">
        <v>277</v>
      </c>
      <c r="E109" s="5" t="s">
        <v>80</v>
      </c>
      <c r="F109" s="5" t="s">
        <v>28</v>
      </c>
      <c r="G109" s="5" t="n">
        <f aca="false">LEN(TRIM(D109))-LEN(SUBSTITUTE(TRIM(D109)," ",""))+1</f>
        <v>60</v>
      </c>
      <c r="H109" s="5" t="str">
        <f aca="false">IF(G109&lt;40,"short",IF(G109&lt;100,"medium",IF(G109&lt;=200,"long","very long")))</f>
        <v>medium</v>
      </c>
      <c r="I109" s="5" t="s">
        <v>29</v>
      </c>
      <c r="J109" s="5" t="n">
        <v>2</v>
      </c>
    </row>
    <row r="110" customFormat="false" ht="35.05" hidden="false" customHeight="false" outlineLevel="0" collapsed="false">
      <c r="A110" s="5" t="s">
        <v>278</v>
      </c>
      <c r="B110" s="5" t="s">
        <v>24</v>
      </c>
      <c r="C110" s="5" t="s">
        <v>25</v>
      </c>
      <c r="D110" s="5" t="s">
        <v>279</v>
      </c>
      <c r="E110" s="5" t="s">
        <v>35</v>
      </c>
      <c r="F110" s="5" t="s">
        <v>28</v>
      </c>
      <c r="G110" s="5" t="n">
        <f aca="false">LEN(TRIM(D110))-LEN(SUBSTITUTE(TRIM(D110)," ",""))+1</f>
        <v>46</v>
      </c>
      <c r="H110" s="5" t="str">
        <f aca="false">IF(G110&lt;40,"short",IF(G110&lt;100,"medium",IF(G110&lt;=200,"long","very long")))</f>
        <v>medium</v>
      </c>
      <c r="I110" s="5" t="s">
        <v>29</v>
      </c>
      <c r="J110" s="5" t="n">
        <v>2</v>
      </c>
    </row>
    <row r="111" customFormat="false" ht="68.65" hidden="false" customHeight="false" outlineLevel="0" collapsed="false">
      <c r="A111" s="5" t="s">
        <v>280</v>
      </c>
      <c r="B111" s="5" t="s">
        <v>24</v>
      </c>
      <c r="C111" s="5" t="s">
        <v>25</v>
      </c>
      <c r="D111" s="5" t="s">
        <v>281</v>
      </c>
      <c r="E111" s="5" t="s">
        <v>32</v>
      </c>
      <c r="F111" s="5" t="s">
        <v>28</v>
      </c>
      <c r="G111" s="5" t="n">
        <f aca="false">LEN(TRIM(D111))-LEN(SUBSTITUTE(TRIM(D111)," ",""))+1</f>
        <v>117</v>
      </c>
      <c r="H111" s="5" t="str">
        <f aca="false">IF(G111&lt;40,"short",IF(G111&lt;100,"medium",IF(G111&lt;=200,"long","very long")))</f>
        <v>long</v>
      </c>
      <c r="I111" s="5" t="s">
        <v>29</v>
      </c>
      <c r="J111" s="5" t="n">
        <v>2</v>
      </c>
    </row>
    <row r="112" customFormat="false" ht="23.85" hidden="false" customHeight="false" outlineLevel="0" collapsed="false">
      <c r="A112" s="5" t="s">
        <v>282</v>
      </c>
      <c r="B112" s="5" t="s">
        <v>24</v>
      </c>
      <c r="C112" s="5" t="s">
        <v>25</v>
      </c>
      <c r="D112" s="5" t="s">
        <v>283</v>
      </c>
      <c r="E112" s="5" t="s">
        <v>49</v>
      </c>
      <c r="F112" s="5" t="s">
        <v>28</v>
      </c>
      <c r="G112" s="5" t="n">
        <f aca="false">LEN(TRIM(D112))-LEN(SUBSTITUTE(TRIM(D112)," ",""))+1</f>
        <v>44</v>
      </c>
      <c r="H112" s="5" t="str">
        <f aca="false">IF(G112&lt;40,"short",IF(G112&lt;100,"medium",IF(G112&lt;=200,"long","very long")))</f>
        <v>medium</v>
      </c>
      <c r="I112" s="5" t="s">
        <v>29</v>
      </c>
      <c r="J112" s="5" t="n">
        <v>2</v>
      </c>
    </row>
    <row r="113" customFormat="false" ht="23.85" hidden="false" customHeight="false" outlineLevel="0" collapsed="false">
      <c r="A113" s="5" t="s">
        <v>284</v>
      </c>
      <c r="B113" s="5" t="s">
        <v>24</v>
      </c>
      <c r="C113" s="5" t="s">
        <v>25</v>
      </c>
      <c r="D113" s="5" t="s">
        <v>285</v>
      </c>
      <c r="E113" s="5" t="s">
        <v>54</v>
      </c>
      <c r="F113" s="5" t="s">
        <v>28</v>
      </c>
      <c r="G113" s="5" t="n">
        <f aca="false">LEN(TRIM(D113))-LEN(SUBSTITUTE(TRIM(D113)," ",""))+1</f>
        <v>39</v>
      </c>
      <c r="H113" s="5" t="str">
        <f aca="false">IF(G113&lt;40,"short",IF(G113&lt;100,"medium",IF(G113&lt;=200,"long","very long")))</f>
        <v>short</v>
      </c>
      <c r="I113" s="5" t="s">
        <v>29</v>
      </c>
      <c r="J113" s="5" t="n">
        <v>2</v>
      </c>
    </row>
    <row r="114" customFormat="false" ht="35.05" hidden="false" customHeight="false" outlineLevel="0" collapsed="false">
      <c r="A114" s="5" t="s">
        <v>286</v>
      </c>
      <c r="B114" s="5" t="s">
        <v>24</v>
      </c>
      <c r="C114" s="5" t="s">
        <v>25</v>
      </c>
      <c r="D114" s="5" t="s">
        <v>287</v>
      </c>
      <c r="E114" s="5" t="s">
        <v>67</v>
      </c>
      <c r="F114" s="5" t="s">
        <v>28</v>
      </c>
      <c r="G114" s="5" t="n">
        <f aca="false">LEN(TRIM(D114))-LEN(SUBSTITUTE(TRIM(D114)," ",""))+1</f>
        <v>50</v>
      </c>
      <c r="H114" s="5" t="str">
        <f aca="false">IF(G114&lt;40,"short",IF(G114&lt;100,"medium",IF(G114&lt;=200,"long","very long")))</f>
        <v>medium</v>
      </c>
      <c r="I114" s="5" t="s">
        <v>29</v>
      </c>
      <c r="J114" s="5" t="n">
        <v>2</v>
      </c>
    </row>
    <row r="115" customFormat="false" ht="57.45" hidden="false" customHeight="false" outlineLevel="0" collapsed="false">
      <c r="A115" s="5" t="s">
        <v>288</v>
      </c>
      <c r="B115" s="5" t="s">
        <v>24</v>
      </c>
      <c r="C115" s="5" t="s">
        <v>25</v>
      </c>
      <c r="D115" s="5" t="s">
        <v>289</v>
      </c>
      <c r="E115" s="5" t="s">
        <v>43</v>
      </c>
      <c r="F115" s="5" t="s">
        <v>28</v>
      </c>
      <c r="G115" s="5" t="n">
        <f aca="false">LEN(TRIM(D115))-LEN(SUBSTITUTE(TRIM(D115)," ",""))+1</f>
        <v>106</v>
      </c>
      <c r="H115" s="5" t="str">
        <f aca="false">IF(G115&lt;40,"short",IF(G115&lt;100,"medium",IF(G115&lt;=200,"long","very long")))</f>
        <v>long</v>
      </c>
      <c r="I115" s="5" t="s">
        <v>29</v>
      </c>
      <c r="J115" s="5" t="n">
        <v>2</v>
      </c>
    </row>
    <row r="116" customFormat="false" ht="35.05" hidden="false" customHeight="false" outlineLevel="0" collapsed="false">
      <c r="A116" s="5" t="s">
        <v>290</v>
      </c>
      <c r="B116" s="5" t="s">
        <v>24</v>
      </c>
      <c r="C116" s="5" t="s">
        <v>25</v>
      </c>
      <c r="D116" s="5" t="s">
        <v>291</v>
      </c>
      <c r="E116" s="5" t="s">
        <v>27</v>
      </c>
      <c r="F116" s="5" t="s">
        <v>28</v>
      </c>
      <c r="G116" s="5" t="n">
        <f aca="false">LEN(TRIM(D116))-LEN(SUBSTITUTE(TRIM(D116)," ",""))+1</f>
        <v>52</v>
      </c>
      <c r="H116" s="5" t="str">
        <f aca="false">IF(G116&lt;40,"short",IF(G116&lt;100,"medium",IF(G116&lt;=200,"long","very long")))</f>
        <v>medium</v>
      </c>
      <c r="I116" s="5" t="s">
        <v>29</v>
      </c>
      <c r="J116" s="5" t="n">
        <v>2</v>
      </c>
    </row>
    <row r="117" customFormat="false" ht="35.05" hidden="false" customHeight="false" outlineLevel="0" collapsed="false">
      <c r="A117" s="5" t="s">
        <v>292</v>
      </c>
      <c r="B117" s="5" t="s">
        <v>24</v>
      </c>
      <c r="C117" s="5" t="s">
        <v>25</v>
      </c>
      <c r="D117" s="5" t="s">
        <v>293</v>
      </c>
      <c r="E117" s="5" t="s">
        <v>35</v>
      </c>
      <c r="F117" s="5" t="s">
        <v>28</v>
      </c>
      <c r="G117" s="5" t="n">
        <f aca="false">LEN(TRIM(D117))-LEN(SUBSTITUTE(TRIM(D117)," ",""))+1</f>
        <v>56</v>
      </c>
      <c r="H117" s="5" t="str">
        <f aca="false">IF(G117&lt;40,"short",IF(G117&lt;100,"medium",IF(G117&lt;=200,"long","very long")))</f>
        <v>medium</v>
      </c>
      <c r="I117" s="5" t="s">
        <v>29</v>
      </c>
      <c r="J117" s="5" t="n">
        <v>2</v>
      </c>
    </row>
    <row r="118" customFormat="false" ht="23.85" hidden="false" customHeight="false" outlineLevel="0" collapsed="false">
      <c r="A118" s="5" t="s">
        <v>294</v>
      </c>
      <c r="B118" s="5" t="s">
        <v>24</v>
      </c>
      <c r="C118" s="5" t="s">
        <v>25</v>
      </c>
      <c r="D118" s="5" t="s">
        <v>295</v>
      </c>
      <c r="E118" s="5" t="s">
        <v>38</v>
      </c>
      <c r="F118" s="5" t="s">
        <v>28</v>
      </c>
      <c r="G118" s="5" t="n">
        <f aca="false">LEN(TRIM(D118))-LEN(SUBSTITUTE(TRIM(D118)," ",""))+1</f>
        <v>33</v>
      </c>
      <c r="H118" s="5" t="str">
        <f aca="false">IF(G118&lt;40,"short",IF(G118&lt;100,"medium",IF(G118&lt;=200,"long","very long")))</f>
        <v>short</v>
      </c>
      <c r="I118" s="5" t="s">
        <v>29</v>
      </c>
      <c r="J118" s="5" t="n">
        <v>2</v>
      </c>
    </row>
    <row r="119" customFormat="false" ht="35.05" hidden="false" customHeight="false" outlineLevel="0" collapsed="false">
      <c r="A119" s="5" t="s">
        <v>296</v>
      </c>
      <c r="B119" s="5" t="s">
        <v>24</v>
      </c>
      <c r="C119" s="5" t="s">
        <v>25</v>
      </c>
      <c r="D119" s="5" t="s">
        <v>297</v>
      </c>
      <c r="E119" s="5" t="s">
        <v>49</v>
      </c>
      <c r="F119" s="5" t="s">
        <v>28</v>
      </c>
      <c r="G119" s="5" t="n">
        <f aca="false">LEN(TRIM(D119))-LEN(SUBSTITUTE(TRIM(D119)," ",""))+1</f>
        <v>59</v>
      </c>
      <c r="H119" s="5" t="str">
        <f aca="false">IF(G119&lt;40,"short",IF(G119&lt;100,"medium",IF(G119&lt;=200,"long","very long")))</f>
        <v>medium</v>
      </c>
      <c r="I119" s="5" t="s">
        <v>29</v>
      </c>
      <c r="J119" s="5" t="n">
        <v>2</v>
      </c>
    </row>
    <row r="120" customFormat="false" ht="35.05" hidden="false" customHeight="false" outlineLevel="0" collapsed="false">
      <c r="A120" s="5" t="s">
        <v>298</v>
      </c>
      <c r="B120" s="5" t="s">
        <v>24</v>
      </c>
      <c r="C120" s="5" t="s">
        <v>25</v>
      </c>
      <c r="D120" s="5" t="s">
        <v>299</v>
      </c>
      <c r="E120" s="5" t="s">
        <v>46</v>
      </c>
      <c r="F120" s="5" t="s">
        <v>28</v>
      </c>
      <c r="G120" s="5" t="n">
        <f aca="false">LEN(TRIM(D120))-LEN(SUBSTITUTE(TRIM(D120)," ",""))+1</f>
        <v>48</v>
      </c>
      <c r="H120" s="5" t="str">
        <f aca="false">IF(G120&lt;40,"short",IF(G120&lt;100,"medium",IF(G120&lt;=200,"long","very long")))</f>
        <v>medium</v>
      </c>
      <c r="I120" s="5" t="s">
        <v>29</v>
      </c>
      <c r="J120" s="5" t="n">
        <v>2</v>
      </c>
    </row>
    <row r="121" customFormat="false" ht="23.85" hidden="false" customHeight="false" outlineLevel="0" collapsed="false">
      <c r="A121" s="5" t="s">
        <v>300</v>
      </c>
      <c r="B121" s="5" t="s">
        <v>24</v>
      </c>
      <c r="C121" s="5" t="s">
        <v>25</v>
      </c>
      <c r="D121" s="5" t="s">
        <v>301</v>
      </c>
      <c r="E121" s="5" t="s">
        <v>54</v>
      </c>
      <c r="F121" s="5" t="s">
        <v>28</v>
      </c>
      <c r="G121" s="5" t="n">
        <f aca="false">LEN(TRIM(D121))-LEN(SUBSTITUTE(TRIM(D121)," ",""))+1</f>
        <v>39</v>
      </c>
      <c r="H121" s="5" t="str">
        <f aca="false">IF(G121&lt;40,"short",IF(G121&lt;100,"medium",IF(G121&lt;=200,"long","very long")))</f>
        <v>short</v>
      </c>
      <c r="I121" s="5" t="s">
        <v>29</v>
      </c>
      <c r="J121" s="5" t="n">
        <v>2</v>
      </c>
    </row>
    <row r="122" customFormat="false" ht="35.05" hidden="false" customHeight="false" outlineLevel="0" collapsed="false">
      <c r="A122" s="5" t="s">
        <v>302</v>
      </c>
      <c r="B122" s="5" t="s">
        <v>24</v>
      </c>
      <c r="C122" s="5" t="s">
        <v>25</v>
      </c>
      <c r="D122" s="5" t="s">
        <v>303</v>
      </c>
      <c r="E122" s="5" t="s">
        <v>32</v>
      </c>
      <c r="F122" s="5" t="s">
        <v>28</v>
      </c>
      <c r="G122" s="5" t="n">
        <f aca="false">LEN(TRIM(D122))-LEN(SUBSTITUTE(TRIM(D122)," ",""))+1</f>
        <v>49</v>
      </c>
      <c r="H122" s="5" t="str">
        <f aca="false">IF(G122&lt;40,"short",IF(G122&lt;100,"medium",IF(G122&lt;=200,"long","very long")))</f>
        <v>medium</v>
      </c>
      <c r="I122" s="5" t="s">
        <v>29</v>
      </c>
      <c r="J122" s="5" t="n">
        <v>2</v>
      </c>
    </row>
    <row r="123" customFormat="false" ht="35.05" hidden="false" customHeight="false" outlineLevel="0" collapsed="false">
      <c r="A123" s="5" t="s">
        <v>304</v>
      </c>
      <c r="B123" s="5" t="s">
        <v>24</v>
      </c>
      <c r="C123" s="5" t="s">
        <v>25</v>
      </c>
      <c r="D123" s="5" t="s">
        <v>305</v>
      </c>
      <c r="E123" s="5" t="s">
        <v>80</v>
      </c>
      <c r="F123" s="5" t="s">
        <v>28</v>
      </c>
      <c r="G123" s="5" t="n">
        <f aca="false">LEN(TRIM(D123))-LEN(SUBSTITUTE(TRIM(D123)," ",""))+1</f>
        <v>50</v>
      </c>
      <c r="H123" s="5" t="str">
        <f aca="false">IF(G123&lt;40,"short",IF(G123&lt;100,"medium",IF(G123&lt;=200,"long","very long")))</f>
        <v>medium</v>
      </c>
      <c r="I123" s="5" t="s">
        <v>29</v>
      </c>
      <c r="J123" s="5" t="n">
        <v>2</v>
      </c>
    </row>
    <row r="124" customFormat="false" ht="23.85" hidden="false" customHeight="false" outlineLevel="0" collapsed="false">
      <c r="A124" s="5" t="s">
        <v>306</v>
      </c>
      <c r="B124" s="5" t="s">
        <v>24</v>
      </c>
      <c r="C124" s="5" t="s">
        <v>25</v>
      </c>
      <c r="D124" s="5" t="s">
        <v>307</v>
      </c>
      <c r="E124" s="5" t="s">
        <v>67</v>
      </c>
      <c r="F124" s="5" t="s">
        <v>89</v>
      </c>
      <c r="G124" s="5" t="n">
        <f aca="false">LEN(TRIM(D124))-LEN(SUBSTITUTE(TRIM(D124)," ",""))+1</f>
        <v>27</v>
      </c>
      <c r="H124" s="5" t="str">
        <f aca="false">IF(G124&lt;40,"short",IF(G124&lt;100,"medium",IF(G124&lt;=200,"long","very long")))</f>
        <v>short</v>
      </c>
      <c r="I124" s="5" t="s">
        <v>29</v>
      </c>
      <c r="J124" s="5" t="n">
        <v>2</v>
      </c>
    </row>
    <row r="125" customFormat="false" ht="23.85" hidden="false" customHeight="false" outlineLevel="0" collapsed="false">
      <c r="A125" s="5" t="s">
        <v>308</v>
      </c>
      <c r="B125" s="5" t="s">
        <v>24</v>
      </c>
      <c r="C125" s="5" t="s">
        <v>25</v>
      </c>
      <c r="D125" s="5" t="s">
        <v>309</v>
      </c>
      <c r="E125" s="5" t="s">
        <v>49</v>
      </c>
      <c r="F125" s="5" t="s">
        <v>89</v>
      </c>
      <c r="G125" s="5" t="n">
        <f aca="false">LEN(TRIM(D125))-LEN(SUBSTITUTE(TRIM(D125)," ",""))+1</f>
        <v>37</v>
      </c>
      <c r="H125" s="5" t="str">
        <f aca="false">IF(G125&lt;40,"short",IF(G125&lt;100,"medium",IF(G125&lt;=200,"long","very long")))</f>
        <v>short</v>
      </c>
      <c r="I125" s="5" t="s">
        <v>29</v>
      </c>
      <c r="J125" s="5" t="n">
        <v>2</v>
      </c>
    </row>
    <row r="126" customFormat="false" ht="23.85" hidden="false" customHeight="false" outlineLevel="0" collapsed="false">
      <c r="A126" s="5" t="s">
        <v>310</v>
      </c>
      <c r="B126" s="5" t="s">
        <v>24</v>
      </c>
      <c r="C126" s="5" t="s">
        <v>25</v>
      </c>
      <c r="D126" s="5" t="s">
        <v>311</v>
      </c>
      <c r="E126" s="5" t="s">
        <v>43</v>
      </c>
      <c r="F126" s="5" t="s">
        <v>89</v>
      </c>
      <c r="G126" s="5" t="n">
        <f aca="false">LEN(TRIM(D126))-LEN(SUBSTITUTE(TRIM(D126)," ",""))+1</f>
        <v>40</v>
      </c>
      <c r="H126" s="5" t="str">
        <f aca="false">IF(G126&lt;40,"short",IF(G126&lt;100,"medium",IF(G126&lt;=200,"long","very long")))</f>
        <v>medium</v>
      </c>
      <c r="I126" s="5" t="s">
        <v>29</v>
      </c>
      <c r="J126" s="5" t="n">
        <v>2</v>
      </c>
    </row>
    <row r="127" customFormat="false" ht="35.05" hidden="false" customHeight="false" outlineLevel="0" collapsed="false">
      <c r="A127" s="5" t="s">
        <v>312</v>
      </c>
      <c r="B127" s="5" t="s">
        <v>24</v>
      </c>
      <c r="C127" s="5" t="s">
        <v>25</v>
      </c>
      <c r="D127" s="5" t="s">
        <v>313</v>
      </c>
      <c r="E127" s="5" t="s">
        <v>27</v>
      </c>
      <c r="F127" s="5" t="s">
        <v>89</v>
      </c>
      <c r="G127" s="5" t="n">
        <f aca="false">LEN(TRIM(D127))-LEN(SUBSTITUTE(TRIM(D127)," ",""))+1</f>
        <v>47</v>
      </c>
      <c r="H127" s="5" t="str">
        <f aca="false">IF(G127&lt;40,"short",IF(G127&lt;100,"medium",IF(G127&lt;=200,"long","very long")))</f>
        <v>medium</v>
      </c>
      <c r="I127" s="5" t="s">
        <v>29</v>
      </c>
      <c r="J127" s="5" t="n">
        <v>2</v>
      </c>
    </row>
    <row r="128" customFormat="false" ht="23.85" hidden="false" customHeight="false" outlineLevel="0" collapsed="false">
      <c r="A128" s="5" t="s">
        <v>314</v>
      </c>
      <c r="B128" s="5" t="s">
        <v>24</v>
      </c>
      <c r="C128" s="5" t="s">
        <v>25</v>
      </c>
      <c r="D128" s="5" t="s">
        <v>315</v>
      </c>
      <c r="E128" s="5" t="s">
        <v>80</v>
      </c>
      <c r="F128" s="5" t="s">
        <v>89</v>
      </c>
      <c r="G128" s="5" t="n">
        <f aca="false">LEN(TRIM(D128))-LEN(SUBSTITUTE(TRIM(D128)," ",""))+1</f>
        <v>37</v>
      </c>
      <c r="H128" s="5" t="str">
        <f aca="false">IF(G128&lt;40,"short",IF(G128&lt;100,"medium",IF(G128&lt;=200,"long","very long")))</f>
        <v>short</v>
      </c>
      <c r="I128" s="5" t="s">
        <v>29</v>
      </c>
      <c r="J128" s="5" t="n">
        <v>2</v>
      </c>
    </row>
    <row r="129" customFormat="false" ht="35.05" hidden="false" customHeight="false" outlineLevel="0" collapsed="false">
      <c r="A129" s="5" t="s">
        <v>316</v>
      </c>
      <c r="B129" s="5" t="s">
        <v>24</v>
      </c>
      <c r="C129" s="5" t="s">
        <v>25</v>
      </c>
      <c r="D129" s="5" t="s">
        <v>317</v>
      </c>
      <c r="E129" s="5" t="s">
        <v>35</v>
      </c>
      <c r="F129" s="5" t="s">
        <v>89</v>
      </c>
      <c r="G129" s="5" t="n">
        <f aca="false">LEN(TRIM(D129))-LEN(SUBSTITUTE(TRIM(D129)," ",""))+1</f>
        <v>50</v>
      </c>
      <c r="H129" s="5" t="str">
        <f aca="false">IF(G129&lt;40,"short",IF(G129&lt;100,"medium",IF(G129&lt;=200,"long","very long")))</f>
        <v>medium</v>
      </c>
      <c r="I129" s="5" t="s">
        <v>29</v>
      </c>
      <c r="J129" s="5" t="n">
        <v>2</v>
      </c>
    </row>
    <row r="130" customFormat="false" ht="23.85" hidden="false" customHeight="false" outlineLevel="0" collapsed="false">
      <c r="A130" s="5" t="s">
        <v>318</v>
      </c>
      <c r="B130" s="5" t="s">
        <v>24</v>
      </c>
      <c r="C130" s="5" t="s">
        <v>25</v>
      </c>
      <c r="D130" s="5" t="s">
        <v>319</v>
      </c>
      <c r="E130" s="5" t="s">
        <v>32</v>
      </c>
      <c r="F130" s="5" t="s">
        <v>89</v>
      </c>
      <c r="G130" s="5" t="n">
        <f aca="false">LEN(TRIM(D130))-LEN(SUBSTITUTE(TRIM(D130)," ",""))+1</f>
        <v>45</v>
      </c>
      <c r="H130" s="5" t="str">
        <f aca="false">IF(G130&lt;40,"short",IF(G130&lt;100,"medium",IF(G130&lt;=200,"long","very long")))</f>
        <v>medium</v>
      </c>
      <c r="I130" s="5" t="s">
        <v>29</v>
      </c>
      <c r="J130" s="5" t="n">
        <v>2</v>
      </c>
    </row>
    <row r="131" customFormat="false" ht="23.85" hidden="false" customHeight="false" outlineLevel="0" collapsed="false">
      <c r="A131" s="5" t="s">
        <v>320</v>
      </c>
      <c r="B131" s="5" t="s">
        <v>24</v>
      </c>
      <c r="C131" s="5" t="s">
        <v>25</v>
      </c>
      <c r="D131" s="5" t="s">
        <v>321</v>
      </c>
      <c r="E131" s="5" t="s">
        <v>54</v>
      </c>
      <c r="F131" s="5" t="s">
        <v>89</v>
      </c>
      <c r="G131" s="5" t="n">
        <f aca="false">LEN(TRIM(D131))-LEN(SUBSTITUTE(TRIM(D131)," ",""))+1</f>
        <v>41</v>
      </c>
      <c r="H131" s="5" t="str">
        <f aca="false">IF(G131&lt;40,"short",IF(G131&lt;100,"medium",IF(G131&lt;=200,"long","very long")))</f>
        <v>medium</v>
      </c>
      <c r="I131" s="5" t="s">
        <v>29</v>
      </c>
      <c r="J131" s="5" t="n">
        <v>2</v>
      </c>
    </row>
    <row r="132" customFormat="false" ht="35.05" hidden="false" customHeight="false" outlineLevel="0" collapsed="false">
      <c r="A132" s="5" t="s">
        <v>322</v>
      </c>
      <c r="B132" s="5" t="s">
        <v>24</v>
      </c>
      <c r="C132" s="5" t="s">
        <v>25</v>
      </c>
      <c r="D132" s="5" t="s">
        <v>323</v>
      </c>
      <c r="E132" s="5" t="s">
        <v>54</v>
      </c>
      <c r="F132" s="5" t="s">
        <v>110</v>
      </c>
      <c r="G132" s="5" t="n">
        <f aca="false">LEN(TRIM(D132))-LEN(SUBSTITUTE(TRIM(D132)," ",""))+1</f>
        <v>58</v>
      </c>
      <c r="H132" s="5" t="str">
        <f aca="false">IF(G132&lt;40,"short",IF(G132&lt;100,"medium",IF(G132&lt;=200,"long","very long")))</f>
        <v>medium</v>
      </c>
      <c r="I132" s="5" t="s">
        <v>29</v>
      </c>
      <c r="J132" s="5" t="n">
        <v>2</v>
      </c>
    </row>
    <row r="133" customFormat="false" ht="23.85" hidden="false" customHeight="false" outlineLevel="0" collapsed="false">
      <c r="A133" s="5" t="s">
        <v>324</v>
      </c>
      <c r="B133" s="5" t="s">
        <v>24</v>
      </c>
      <c r="C133" s="5" t="s">
        <v>25</v>
      </c>
      <c r="D133" s="5" t="s">
        <v>325</v>
      </c>
      <c r="E133" s="5" t="s">
        <v>80</v>
      </c>
      <c r="F133" s="5" t="s">
        <v>110</v>
      </c>
      <c r="G133" s="5" t="n">
        <f aca="false">LEN(TRIM(D133))-LEN(SUBSTITUTE(TRIM(D133)," ",""))+1</f>
        <v>43</v>
      </c>
      <c r="H133" s="5" t="str">
        <f aca="false">IF(G133&lt;40,"short",IF(G133&lt;100,"medium",IF(G133&lt;=200,"long","very long")))</f>
        <v>medium</v>
      </c>
      <c r="I133" s="5" t="s">
        <v>29</v>
      </c>
      <c r="J133" s="5" t="n">
        <v>2</v>
      </c>
    </row>
    <row r="134" customFormat="false" ht="35.05" hidden="false" customHeight="false" outlineLevel="0" collapsed="false">
      <c r="A134" s="5" t="s">
        <v>326</v>
      </c>
      <c r="B134" s="5" t="s">
        <v>24</v>
      </c>
      <c r="C134" s="5" t="s">
        <v>25</v>
      </c>
      <c r="D134" s="5" t="s">
        <v>327</v>
      </c>
      <c r="E134" s="5" t="s">
        <v>49</v>
      </c>
      <c r="F134" s="5" t="s">
        <v>110</v>
      </c>
      <c r="G134" s="5" t="n">
        <f aca="false">LEN(TRIM(D134))-LEN(SUBSTITUTE(TRIM(D134)," ",""))+1</f>
        <v>59</v>
      </c>
      <c r="H134" s="5" t="str">
        <f aca="false">IF(G134&lt;40,"short",IF(G134&lt;100,"medium",IF(G134&lt;=200,"long","very long")))</f>
        <v>medium</v>
      </c>
      <c r="I134" s="5" t="s">
        <v>29</v>
      </c>
      <c r="J134" s="5" t="n">
        <v>2</v>
      </c>
    </row>
    <row r="135" customFormat="false" ht="57.45" hidden="false" customHeight="false" outlineLevel="0" collapsed="false">
      <c r="A135" s="5" t="s">
        <v>328</v>
      </c>
      <c r="B135" s="5" t="s">
        <v>24</v>
      </c>
      <c r="C135" s="5" t="s">
        <v>25</v>
      </c>
      <c r="D135" s="5" t="s">
        <v>329</v>
      </c>
      <c r="E135" s="5" t="s">
        <v>67</v>
      </c>
      <c r="F135" s="5" t="s">
        <v>110</v>
      </c>
      <c r="G135" s="5" t="n">
        <f aca="false">LEN(TRIM(D135))-LEN(SUBSTITUTE(TRIM(D135)," ",""))+1</f>
        <v>91</v>
      </c>
      <c r="H135" s="5" t="str">
        <f aca="false">IF(G135&lt;40,"short",IF(G135&lt;100,"medium",IF(G135&lt;=200,"long","very long")))</f>
        <v>medium</v>
      </c>
      <c r="I135" s="5" t="s">
        <v>29</v>
      </c>
      <c r="J135" s="5" t="n">
        <v>2</v>
      </c>
    </row>
    <row r="136" customFormat="false" ht="68.65" hidden="false" customHeight="false" outlineLevel="0" collapsed="false">
      <c r="A136" s="5" t="s">
        <v>330</v>
      </c>
      <c r="B136" s="5" t="s">
        <v>24</v>
      </c>
      <c r="C136" s="5" t="s">
        <v>25</v>
      </c>
      <c r="D136" s="5" t="s">
        <v>331</v>
      </c>
      <c r="E136" s="5" t="s">
        <v>27</v>
      </c>
      <c r="F136" s="5" t="s">
        <v>110</v>
      </c>
      <c r="G136" s="5" t="n">
        <f aca="false">LEN(TRIM(D136))-LEN(SUBSTITUTE(TRIM(D136)," ",""))+1</f>
        <v>117</v>
      </c>
      <c r="H136" s="5" t="str">
        <f aca="false">IF(G136&lt;40,"short",IF(G136&lt;100,"medium",IF(G136&lt;=200,"long","very long")))</f>
        <v>long</v>
      </c>
      <c r="I136" s="5" t="s">
        <v>29</v>
      </c>
      <c r="J136" s="5" t="n">
        <v>2</v>
      </c>
    </row>
    <row r="137" customFormat="false" ht="35.05" hidden="false" customHeight="false" outlineLevel="0" collapsed="false">
      <c r="A137" s="5" t="s">
        <v>332</v>
      </c>
      <c r="B137" s="5" t="s">
        <v>24</v>
      </c>
      <c r="C137" s="5" t="s">
        <v>25</v>
      </c>
      <c r="D137" s="5" t="s">
        <v>333</v>
      </c>
      <c r="E137" s="5" t="s">
        <v>46</v>
      </c>
      <c r="F137" s="5" t="s">
        <v>110</v>
      </c>
      <c r="G137" s="5" t="n">
        <f aca="false">LEN(TRIM(D137))-LEN(SUBSTITUTE(TRIM(D137)," ",""))+1</f>
        <v>59</v>
      </c>
      <c r="H137" s="5" t="str">
        <f aca="false">IF(G137&lt;40,"short",IF(G137&lt;100,"medium",IF(G137&lt;=200,"long","very long")))</f>
        <v>medium</v>
      </c>
      <c r="I137" s="5" t="s">
        <v>29</v>
      </c>
      <c r="J137" s="5" t="n">
        <v>2</v>
      </c>
    </row>
    <row r="138" customFormat="false" ht="35.05" hidden="false" customHeight="false" outlineLevel="0" collapsed="false">
      <c r="A138" s="5" t="s">
        <v>334</v>
      </c>
      <c r="B138" s="5" t="s">
        <v>24</v>
      </c>
      <c r="C138" s="5" t="s">
        <v>25</v>
      </c>
      <c r="D138" s="5" t="s">
        <v>335</v>
      </c>
      <c r="E138" s="5" t="s">
        <v>43</v>
      </c>
      <c r="F138" s="5" t="s">
        <v>110</v>
      </c>
      <c r="G138" s="5" t="n">
        <f aca="false">LEN(TRIM(D138))-LEN(SUBSTITUTE(TRIM(D138)," ",""))+1</f>
        <v>46</v>
      </c>
      <c r="H138" s="5" t="str">
        <f aca="false">IF(G138&lt;40,"short",IF(G138&lt;100,"medium",IF(G138&lt;=200,"long","very long")))</f>
        <v>medium</v>
      </c>
      <c r="I138" s="5" t="s">
        <v>29</v>
      </c>
      <c r="J138" s="5" t="n">
        <v>2</v>
      </c>
    </row>
    <row r="139" customFormat="false" ht="35.05" hidden="false" customHeight="false" outlineLevel="0" collapsed="false">
      <c r="A139" s="5" t="s">
        <v>336</v>
      </c>
      <c r="B139" s="5" t="s">
        <v>24</v>
      </c>
      <c r="C139" s="5" t="s">
        <v>25</v>
      </c>
      <c r="D139" s="5" t="s">
        <v>337</v>
      </c>
      <c r="E139" s="5" t="s">
        <v>35</v>
      </c>
      <c r="F139" s="5" t="s">
        <v>110</v>
      </c>
      <c r="G139" s="5" t="n">
        <f aca="false">LEN(TRIM(D139))-LEN(SUBSTITUTE(TRIM(D139)," ",""))+1</f>
        <v>56</v>
      </c>
      <c r="H139" s="5" t="str">
        <f aca="false">IF(G139&lt;40,"short",IF(G139&lt;100,"medium",IF(G139&lt;=200,"long","very long")))</f>
        <v>medium</v>
      </c>
      <c r="I139" s="5" t="s">
        <v>29</v>
      </c>
      <c r="J139" s="5" t="n">
        <v>2</v>
      </c>
    </row>
    <row r="140" customFormat="false" ht="35.05" hidden="false" customHeight="false" outlineLevel="0" collapsed="false">
      <c r="A140" s="5" t="s">
        <v>338</v>
      </c>
      <c r="B140" s="5" t="s">
        <v>24</v>
      </c>
      <c r="C140" s="5" t="s">
        <v>25</v>
      </c>
      <c r="D140" s="5" t="s">
        <v>339</v>
      </c>
      <c r="E140" s="5" t="s">
        <v>49</v>
      </c>
      <c r="F140" s="5" t="s">
        <v>110</v>
      </c>
      <c r="G140" s="5" t="n">
        <f aca="false">LEN(TRIM(D140))-LEN(SUBSTITUTE(TRIM(D140)," ",""))+1</f>
        <v>56</v>
      </c>
      <c r="H140" s="5" t="str">
        <f aca="false">IF(G140&lt;40,"short",IF(G140&lt;100,"medium",IF(G140&lt;=200,"long","very long")))</f>
        <v>medium</v>
      </c>
      <c r="I140" s="5" t="s">
        <v>29</v>
      </c>
      <c r="J140" s="5" t="n">
        <v>2</v>
      </c>
    </row>
    <row r="141" customFormat="false" ht="23.85" hidden="false" customHeight="false" outlineLevel="0" collapsed="false">
      <c r="A141" s="5" t="s">
        <v>340</v>
      </c>
      <c r="B141" s="5" t="s">
        <v>24</v>
      </c>
      <c r="C141" s="5" t="s">
        <v>25</v>
      </c>
      <c r="D141" s="5" t="s">
        <v>341</v>
      </c>
      <c r="E141" s="5" t="s">
        <v>32</v>
      </c>
      <c r="F141" s="5" t="s">
        <v>110</v>
      </c>
      <c r="G141" s="5" t="n">
        <f aca="false">LEN(TRIM(D141))-LEN(SUBSTITUTE(TRIM(D141)," ",""))+1</f>
        <v>46</v>
      </c>
      <c r="H141" s="5" t="str">
        <f aca="false">IF(G141&lt;40,"short",IF(G141&lt;100,"medium",IF(G141&lt;=200,"long","very long")))</f>
        <v>medium</v>
      </c>
      <c r="I141" s="5" t="s">
        <v>29</v>
      </c>
      <c r="J141" s="5" t="n">
        <v>2</v>
      </c>
    </row>
    <row r="142" customFormat="false" ht="23.85" hidden="false" customHeight="false" outlineLevel="0" collapsed="false">
      <c r="A142" s="5" t="s">
        <v>342</v>
      </c>
      <c r="B142" s="5" t="s">
        <v>24</v>
      </c>
      <c r="C142" s="5" t="s">
        <v>25</v>
      </c>
      <c r="D142" s="5" t="s">
        <v>343</v>
      </c>
      <c r="E142" s="5" t="s">
        <v>80</v>
      </c>
      <c r="F142" s="5" t="s">
        <v>110</v>
      </c>
      <c r="G142" s="5" t="n">
        <f aca="false">LEN(TRIM(D142))-LEN(SUBSTITUTE(TRIM(D142)," ",""))+1</f>
        <v>35</v>
      </c>
      <c r="H142" s="5" t="str">
        <f aca="false">IF(G142&lt;40,"short",IF(G142&lt;100,"medium",IF(G142&lt;=200,"long","very long")))</f>
        <v>short</v>
      </c>
      <c r="I142" s="5" t="s">
        <v>29</v>
      </c>
      <c r="J142" s="5" t="n">
        <v>2</v>
      </c>
    </row>
    <row r="143" customFormat="false" ht="23.85" hidden="false" customHeight="false" outlineLevel="0" collapsed="false">
      <c r="A143" s="5" t="s">
        <v>344</v>
      </c>
      <c r="B143" s="5" t="s">
        <v>24</v>
      </c>
      <c r="C143" s="5" t="s">
        <v>25</v>
      </c>
      <c r="D143" s="5" t="s">
        <v>345</v>
      </c>
      <c r="E143" s="5" t="s">
        <v>43</v>
      </c>
      <c r="F143" s="5" t="s">
        <v>110</v>
      </c>
      <c r="G143" s="5" t="n">
        <f aca="false">LEN(TRIM(D143))-LEN(SUBSTITUTE(TRIM(D143)," ",""))+1</f>
        <v>31</v>
      </c>
      <c r="H143" s="5" t="str">
        <f aca="false">IF(G143&lt;40,"short",IF(G143&lt;100,"medium",IF(G143&lt;=200,"long","very long")))</f>
        <v>short</v>
      </c>
      <c r="I143" s="5" t="s">
        <v>29</v>
      </c>
      <c r="J143" s="5" t="n">
        <v>2</v>
      </c>
    </row>
    <row r="144" customFormat="false" ht="57.45" hidden="false" customHeight="false" outlineLevel="0" collapsed="false">
      <c r="A144" s="5" t="s">
        <v>346</v>
      </c>
      <c r="B144" s="5" t="s">
        <v>24</v>
      </c>
      <c r="C144" s="5" t="s">
        <v>25</v>
      </c>
      <c r="D144" s="5" t="s">
        <v>347</v>
      </c>
      <c r="E144" s="5" t="s">
        <v>67</v>
      </c>
      <c r="F144" s="5" t="s">
        <v>110</v>
      </c>
      <c r="G144" s="5" t="n">
        <f aca="false">LEN(TRIM(D144))-LEN(SUBSTITUTE(TRIM(D144)," ",""))+1</f>
        <v>96</v>
      </c>
      <c r="H144" s="5" t="str">
        <f aca="false">IF(G144&lt;40,"short",IF(G144&lt;100,"medium",IF(G144&lt;=200,"long","very long")))</f>
        <v>medium</v>
      </c>
      <c r="I144" s="5" t="s">
        <v>29</v>
      </c>
      <c r="J144" s="5" t="n">
        <v>2</v>
      </c>
    </row>
    <row r="145" customFormat="false" ht="23.85" hidden="false" customHeight="false" outlineLevel="0" collapsed="false">
      <c r="A145" s="5" t="s">
        <v>348</v>
      </c>
      <c r="B145" s="5" t="s">
        <v>24</v>
      </c>
      <c r="C145" s="5" t="s">
        <v>25</v>
      </c>
      <c r="D145" s="5" t="s">
        <v>349</v>
      </c>
      <c r="E145" s="5" t="s">
        <v>38</v>
      </c>
      <c r="F145" s="5" t="s">
        <v>110</v>
      </c>
      <c r="G145" s="5" t="n">
        <f aca="false">LEN(TRIM(D145))-LEN(SUBSTITUTE(TRIM(D145)," ",""))+1</f>
        <v>35</v>
      </c>
      <c r="H145" s="5" t="str">
        <f aca="false">IF(G145&lt;40,"short",IF(G145&lt;100,"medium",IF(G145&lt;=200,"long","very long")))</f>
        <v>short</v>
      </c>
      <c r="I145" s="5" t="s">
        <v>29</v>
      </c>
      <c r="J145" s="5" t="n">
        <v>2</v>
      </c>
    </row>
    <row r="146" customFormat="false" ht="23.85" hidden="false" customHeight="false" outlineLevel="0" collapsed="false">
      <c r="A146" s="5" t="s">
        <v>350</v>
      </c>
      <c r="B146" s="5" t="s">
        <v>24</v>
      </c>
      <c r="C146" s="5" t="s">
        <v>25</v>
      </c>
      <c r="D146" s="5" t="s">
        <v>351</v>
      </c>
      <c r="E146" s="5" t="s">
        <v>27</v>
      </c>
      <c r="F146" s="5" t="s">
        <v>110</v>
      </c>
      <c r="G146" s="5" t="n">
        <f aca="false">LEN(TRIM(D146))-LEN(SUBSTITUTE(TRIM(D146)," ",""))+1</f>
        <v>31</v>
      </c>
      <c r="H146" s="5" t="str">
        <f aca="false">IF(G146&lt;40,"short",IF(G146&lt;100,"medium",IF(G146&lt;=200,"long","very long")))</f>
        <v>short</v>
      </c>
      <c r="I146" s="5" t="s">
        <v>29</v>
      </c>
      <c r="J146" s="5" t="n">
        <v>2</v>
      </c>
    </row>
    <row r="147" customFormat="false" ht="23.85" hidden="false" customHeight="false" outlineLevel="0" collapsed="false">
      <c r="A147" s="5" t="s">
        <v>352</v>
      </c>
      <c r="B147" s="5" t="s">
        <v>24</v>
      </c>
      <c r="C147" s="5" t="s">
        <v>25</v>
      </c>
      <c r="D147" s="5" t="s">
        <v>353</v>
      </c>
      <c r="E147" s="5" t="s">
        <v>54</v>
      </c>
      <c r="F147" s="5" t="s">
        <v>110</v>
      </c>
      <c r="G147" s="5" t="n">
        <f aca="false">LEN(TRIM(D147))-LEN(SUBSTITUTE(TRIM(D147)," ",""))+1</f>
        <v>32</v>
      </c>
      <c r="H147" s="5" t="str">
        <f aca="false">IF(G147&lt;40,"short",IF(G147&lt;100,"medium",IF(G147&lt;=200,"long","very long")))</f>
        <v>short</v>
      </c>
      <c r="I147" s="5" t="s">
        <v>29</v>
      </c>
      <c r="J147" s="5" t="n">
        <v>2</v>
      </c>
    </row>
    <row r="148" customFormat="false" ht="23.85" hidden="false" customHeight="false" outlineLevel="0" collapsed="false">
      <c r="A148" s="5" t="s">
        <v>354</v>
      </c>
      <c r="B148" s="5" t="s">
        <v>24</v>
      </c>
      <c r="C148" s="5" t="s">
        <v>25</v>
      </c>
      <c r="D148" s="5" t="s">
        <v>355</v>
      </c>
      <c r="E148" s="5" t="s">
        <v>35</v>
      </c>
      <c r="F148" s="5" t="s">
        <v>110</v>
      </c>
      <c r="G148" s="5" t="n">
        <f aca="false">LEN(TRIM(D148))-LEN(SUBSTITUTE(TRIM(D148)," ",""))+1</f>
        <v>35</v>
      </c>
      <c r="H148" s="5" t="str">
        <f aca="false">IF(G148&lt;40,"short",IF(G148&lt;100,"medium",IF(G148&lt;=200,"long","very long")))</f>
        <v>short</v>
      </c>
      <c r="I148" s="5" t="s">
        <v>29</v>
      </c>
      <c r="J148" s="5" t="n">
        <v>2</v>
      </c>
    </row>
    <row r="149" customFormat="false" ht="23.85" hidden="false" customHeight="false" outlineLevel="0" collapsed="false">
      <c r="A149" s="5" t="s">
        <v>356</v>
      </c>
      <c r="B149" s="5" t="s">
        <v>24</v>
      </c>
      <c r="C149" s="5" t="s">
        <v>25</v>
      </c>
      <c r="D149" s="5" t="s">
        <v>357</v>
      </c>
      <c r="E149" s="5" t="s">
        <v>67</v>
      </c>
      <c r="F149" s="5" t="s">
        <v>110</v>
      </c>
      <c r="G149" s="5" t="n">
        <f aca="false">LEN(TRIM(D149))-LEN(SUBSTITUTE(TRIM(D149)," ",""))+1</f>
        <v>30</v>
      </c>
      <c r="H149" s="5" t="str">
        <f aca="false">IF(G149&lt;40,"short",IF(G149&lt;100,"medium",IF(G149&lt;=200,"long","very long")))</f>
        <v>short</v>
      </c>
      <c r="I149" s="5" t="s">
        <v>29</v>
      </c>
      <c r="J149" s="5" t="n">
        <v>2</v>
      </c>
    </row>
    <row r="150" customFormat="false" ht="23.85" hidden="false" customHeight="false" outlineLevel="0" collapsed="false">
      <c r="A150" s="5" t="s">
        <v>358</v>
      </c>
      <c r="B150" s="5" t="s">
        <v>24</v>
      </c>
      <c r="C150" s="5" t="s">
        <v>25</v>
      </c>
      <c r="D150" s="5" t="s">
        <v>359</v>
      </c>
      <c r="E150" s="5" t="s">
        <v>49</v>
      </c>
      <c r="F150" s="5" t="s">
        <v>141</v>
      </c>
      <c r="G150" s="5" t="n">
        <f aca="false">LEN(TRIM(D150))-LEN(SUBSTITUTE(TRIM(D150)," ",""))+1</f>
        <v>39</v>
      </c>
      <c r="H150" s="5" t="str">
        <f aca="false">IF(G150&lt;40,"short",IF(G150&lt;100,"medium",IF(G150&lt;=200,"long","very long")))</f>
        <v>short</v>
      </c>
      <c r="I150" s="5" t="s">
        <v>29</v>
      </c>
      <c r="J150" s="5" t="n">
        <v>2</v>
      </c>
    </row>
    <row r="151" customFormat="false" ht="23.85" hidden="false" customHeight="false" outlineLevel="0" collapsed="false">
      <c r="A151" s="5" t="s">
        <v>360</v>
      </c>
      <c r="B151" s="5" t="s">
        <v>24</v>
      </c>
      <c r="C151" s="5" t="s">
        <v>25</v>
      </c>
      <c r="D151" s="5" t="s">
        <v>361</v>
      </c>
      <c r="E151" s="5" t="s">
        <v>49</v>
      </c>
      <c r="F151" s="5" t="s">
        <v>141</v>
      </c>
      <c r="G151" s="5" t="n">
        <f aca="false">LEN(TRIM(D151))-LEN(SUBSTITUTE(TRIM(D151)," ",""))+1</f>
        <v>39</v>
      </c>
      <c r="H151" s="5" t="str">
        <f aca="false">IF(G151&lt;40,"short",IF(G151&lt;100,"medium",IF(G151&lt;=200,"long","very long")))</f>
        <v>short</v>
      </c>
      <c r="I151" s="5" t="s">
        <v>29</v>
      </c>
      <c r="J151" s="5" t="n">
        <v>2</v>
      </c>
    </row>
    <row r="152" customFormat="false" ht="23.85" hidden="false" customHeight="false" outlineLevel="0" collapsed="false">
      <c r="A152" s="5" t="s">
        <v>362</v>
      </c>
      <c r="B152" s="5" t="s">
        <v>24</v>
      </c>
      <c r="C152" s="5" t="s">
        <v>25</v>
      </c>
      <c r="D152" s="5" t="s">
        <v>363</v>
      </c>
      <c r="E152" s="5" t="s">
        <v>54</v>
      </c>
      <c r="F152" s="5" t="s">
        <v>141</v>
      </c>
      <c r="G152" s="5" t="n">
        <f aca="false">LEN(TRIM(D152))-LEN(SUBSTITUTE(TRIM(D152)," ",""))+1</f>
        <v>32</v>
      </c>
      <c r="H152" s="5" t="str">
        <f aca="false">IF(G152&lt;40,"short",IF(G152&lt;100,"medium",IF(G152&lt;=200,"long","very long")))</f>
        <v>short</v>
      </c>
      <c r="I152" s="5" t="s">
        <v>29</v>
      </c>
      <c r="J152" s="5" t="n">
        <v>2</v>
      </c>
    </row>
    <row r="153" customFormat="false" ht="23.85" hidden="false" customHeight="false" outlineLevel="0" collapsed="false">
      <c r="A153" s="5" t="s">
        <v>364</v>
      </c>
      <c r="B153" s="5" t="s">
        <v>24</v>
      </c>
      <c r="C153" s="5" t="s">
        <v>25</v>
      </c>
      <c r="D153" s="5" t="s">
        <v>365</v>
      </c>
      <c r="E153" s="5" t="s">
        <v>27</v>
      </c>
      <c r="F153" s="5" t="s">
        <v>141</v>
      </c>
      <c r="G153" s="5" t="n">
        <f aca="false">LEN(TRIM(D153))-LEN(SUBSTITUTE(TRIM(D153)," ",""))+1</f>
        <v>40</v>
      </c>
      <c r="H153" s="5" t="str">
        <f aca="false">IF(G153&lt;40,"short",IF(G153&lt;100,"medium",IF(G153&lt;=200,"long","very long")))</f>
        <v>medium</v>
      </c>
      <c r="I153" s="5" t="s">
        <v>29</v>
      </c>
      <c r="J153" s="5" t="n">
        <v>2</v>
      </c>
    </row>
    <row r="154" customFormat="false" ht="23.85" hidden="false" customHeight="false" outlineLevel="0" collapsed="false">
      <c r="A154" s="5" t="s">
        <v>366</v>
      </c>
      <c r="B154" s="5" t="s">
        <v>24</v>
      </c>
      <c r="C154" s="5" t="s">
        <v>25</v>
      </c>
      <c r="D154" s="5" t="s">
        <v>367</v>
      </c>
      <c r="E154" s="5" t="s">
        <v>67</v>
      </c>
      <c r="F154" s="5" t="s">
        <v>141</v>
      </c>
      <c r="G154" s="5" t="n">
        <f aca="false">LEN(TRIM(D154))-LEN(SUBSTITUTE(TRIM(D154)," ",""))+1</f>
        <v>38</v>
      </c>
      <c r="H154" s="5" t="str">
        <f aca="false">IF(G154&lt;40,"short",IF(G154&lt;100,"medium",IF(G154&lt;=200,"long","very long")))</f>
        <v>short</v>
      </c>
      <c r="I154" s="5" t="s">
        <v>29</v>
      </c>
      <c r="J154" s="5" t="n">
        <v>2</v>
      </c>
    </row>
    <row r="155" customFormat="false" ht="15" hidden="false" customHeight="false" outlineLevel="0" collapsed="false">
      <c r="A155" s="5" t="s">
        <v>368</v>
      </c>
      <c r="B155" s="5" t="s">
        <v>24</v>
      </c>
      <c r="C155" s="5" t="s">
        <v>25</v>
      </c>
      <c r="D155" s="5" t="s">
        <v>369</v>
      </c>
      <c r="E155" s="5" t="s">
        <v>43</v>
      </c>
      <c r="F155" s="5" t="s">
        <v>141</v>
      </c>
      <c r="G155" s="5" t="n">
        <f aca="false">LEN(TRIM(D155))-LEN(SUBSTITUTE(TRIM(D155)," ",""))+1</f>
        <v>13</v>
      </c>
      <c r="H155" s="5" t="str">
        <f aca="false">IF(G155&lt;40,"short",IF(G155&lt;100,"medium",IF(G155&lt;=200,"long","very long")))</f>
        <v>short</v>
      </c>
      <c r="I155" s="5" t="s">
        <v>29</v>
      </c>
      <c r="J155" s="5" t="n">
        <v>2</v>
      </c>
    </row>
    <row r="156" customFormat="false" ht="23.85" hidden="false" customHeight="false" outlineLevel="0" collapsed="false">
      <c r="A156" s="5" t="s">
        <v>370</v>
      </c>
      <c r="B156" s="5" t="s">
        <v>24</v>
      </c>
      <c r="C156" s="5" t="s">
        <v>25</v>
      </c>
      <c r="D156" s="5" t="s">
        <v>371</v>
      </c>
      <c r="E156" s="5" t="s">
        <v>38</v>
      </c>
      <c r="F156" s="5" t="s">
        <v>141</v>
      </c>
      <c r="G156" s="5" t="n">
        <f aca="false">LEN(TRIM(D156))-LEN(SUBSTITUTE(TRIM(D156)," ",""))+1</f>
        <v>31</v>
      </c>
      <c r="H156" s="5" t="str">
        <f aca="false">IF(G156&lt;40,"short",IF(G156&lt;100,"medium",IF(G156&lt;=200,"long","very long")))</f>
        <v>short</v>
      </c>
      <c r="I156" s="5" t="s">
        <v>29</v>
      </c>
      <c r="J156" s="5" t="n">
        <v>2</v>
      </c>
    </row>
    <row r="157" customFormat="false" ht="15" hidden="false" customHeight="false" outlineLevel="0" collapsed="false">
      <c r="A157" s="5" t="s">
        <v>372</v>
      </c>
      <c r="B157" s="5" t="s">
        <v>24</v>
      </c>
      <c r="C157" s="5" t="s">
        <v>25</v>
      </c>
      <c r="D157" s="5" t="s">
        <v>373</v>
      </c>
      <c r="E157" s="5" t="s">
        <v>35</v>
      </c>
      <c r="F157" s="5" t="s">
        <v>141</v>
      </c>
      <c r="G157" s="5" t="n">
        <f aca="false">LEN(TRIM(D157))-LEN(SUBSTITUTE(TRIM(D157)," ",""))+1</f>
        <v>14</v>
      </c>
      <c r="H157" s="5" t="str">
        <f aca="false">IF(G157&lt;40,"short",IF(G157&lt;100,"medium",IF(G157&lt;=200,"long","very long")))</f>
        <v>short</v>
      </c>
      <c r="I157" s="5" t="s">
        <v>29</v>
      </c>
      <c r="J157" s="5" t="n">
        <v>2</v>
      </c>
    </row>
    <row r="158" customFormat="false" ht="23.85" hidden="false" customHeight="false" outlineLevel="0" collapsed="false">
      <c r="A158" s="5" t="s">
        <v>374</v>
      </c>
      <c r="B158" s="5" t="s">
        <v>24</v>
      </c>
      <c r="C158" s="5" t="s">
        <v>25</v>
      </c>
      <c r="D158" s="5" t="s">
        <v>375</v>
      </c>
      <c r="E158" s="5" t="s">
        <v>80</v>
      </c>
      <c r="F158" s="5" t="s">
        <v>141</v>
      </c>
      <c r="G158" s="5" t="n">
        <f aca="false">LEN(TRIM(D158))-LEN(SUBSTITUTE(TRIM(D158)," ",""))+1</f>
        <v>31</v>
      </c>
      <c r="H158" s="5" t="str">
        <f aca="false">IF(G158&lt;40,"short",IF(G158&lt;100,"medium",IF(G158&lt;=200,"long","very long")))</f>
        <v>short</v>
      </c>
      <c r="I158" s="5" t="s">
        <v>29</v>
      </c>
      <c r="J158" s="5" t="n">
        <v>2</v>
      </c>
    </row>
    <row r="159" customFormat="false" ht="15" hidden="false" customHeight="false" outlineLevel="0" collapsed="false">
      <c r="A159" s="5" t="s">
        <v>376</v>
      </c>
      <c r="B159" s="5" t="s">
        <v>24</v>
      </c>
      <c r="C159" s="5" t="s">
        <v>25</v>
      </c>
      <c r="D159" s="5" t="s">
        <v>377</v>
      </c>
      <c r="E159" s="5" t="s">
        <v>32</v>
      </c>
      <c r="F159" s="5" t="s">
        <v>141</v>
      </c>
      <c r="G159" s="5" t="n">
        <f aca="false">LEN(TRIM(D159))-LEN(SUBSTITUTE(TRIM(D159)," ",""))+1</f>
        <v>18</v>
      </c>
      <c r="H159" s="5" t="str">
        <f aca="false">IF(G159&lt;40,"short",IF(G159&lt;100,"medium",IF(G159&lt;=200,"long","very long")))</f>
        <v>short</v>
      </c>
      <c r="I159" s="5" t="s">
        <v>29</v>
      </c>
      <c r="J159" s="5" t="n">
        <v>2</v>
      </c>
    </row>
    <row r="160" customFormat="false" ht="23.85" hidden="false" customHeight="false" outlineLevel="0" collapsed="false">
      <c r="A160" s="5" t="s">
        <v>378</v>
      </c>
      <c r="B160" s="5" t="s">
        <v>24</v>
      </c>
      <c r="C160" s="5" t="s">
        <v>25</v>
      </c>
      <c r="D160" s="5" t="s">
        <v>379</v>
      </c>
      <c r="E160" s="5" t="s">
        <v>54</v>
      </c>
      <c r="F160" s="5" t="s">
        <v>141</v>
      </c>
      <c r="G160" s="5" t="n">
        <f aca="false">LEN(TRIM(D160))-LEN(SUBSTITUTE(TRIM(D160)," ",""))+1</f>
        <v>33</v>
      </c>
      <c r="H160" s="5" t="str">
        <f aca="false">IF(G160&lt;40,"short",IF(G160&lt;100,"medium",IF(G160&lt;=200,"long","very long")))</f>
        <v>short</v>
      </c>
      <c r="I160" s="5" t="s">
        <v>29</v>
      </c>
      <c r="J160" s="5" t="n">
        <v>2</v>
      </c>
    </row>
    <row r="161" customFormat="false" ht="15" hidden="false" customHeight="false" outlineLevel="0" collapsed="false">
      <c r="A161" s="5" t="s">
        <v>380</v>
      </c>
      <c r="B161" s="5" t="s">
        <v>24</v>
      </c>
      <c r="C161" s="5" t="s">
        <v>25</v>
      </c>
      <c r="D161" s="5" t="s">
        <v>381</v>
      </c>
      <c r="E161" s="5" t="s">
        <v>67</v>
      </c>
      <c r="F161" s="5" t="s">
        <v>141</v>
      </c>
      <c r="G161" s="5" t="n">
        <f aca="false">LEN(TRIM(D161))-LEN(SUBSTITUTE(TRIM(D161)," ",""))+1</f>
        <v>12</v>
      </c>
      <c r="H161" s="5" t="str">
        <f aca="false">IF(G161&lt;40,"short",IF(G161&lt;100,"medium",IF(G161&lt;=200,"long","very long")))</f>
        <v>short</v>
      </c>
      <c r="I161" s="5" t="s">
        <v>29</v>
      </c>
      <c r="J161" s="5" t="n">
        <v>2</v>
      </c>
    </row>
    <row r="162" customFormat="false" ht="15" hidden="false" customHeight="false" outlineLevel="0" collapsed="false">
      <c r="A162" s="5" t="s">
        <v>382</v>
      </c>
      <c r="B162" s="5" t="s">
        <v>24</v>
      </c>
      <c r="C162" s="5" t="s">
        <v>25</v>
      </c>
      <c r="D162" s="5" t="s">
        <v>383</v>
      </c>
      <c r="E162" s="5" t="s">
        <v>43</v>
      </c>
      <c r="F162" s="5" t="s">
        <v>141</v>
      </c>
      <c r="G162" s="5" t="n">
        <f aca="false">LEN(TRIM(D162))-LEN(SUBSTITUTE(TRIM(D162)," ",""))+1</f>
        <v>17</v>
      </c>
      <c r="H162" s="5" t="str">
        <f aca="false">IF(G162&lt;40,"short",IF(G162&lt;100,"medium",IF(G162&lt;=200,"long","very long")))</f>
        <v>short</v>
      </c>
      <c r="I162" s="5" t="s">
        <v>29</v>
      </c>
      <c r="J162" s="5" t="n">
        <v>2</v>
      </c>
    </row>
    <row r="163" customFormat="false" ht="15" hidden="false" customHeight="false" outlineLevel="0" collapsed="false">
      <c r="A163" s="5" t="s">
        <v>384</v>
      </c>
      <c r="B163" s="5" t="s">
        <v>24</v>
      </c>
      <c r="C163" s="5" t="s">
        <v>25</v>
      </c>
      <c r="D163" s="5" t="s">
        <v>385</v>
      </c>
      <c r="E163" s="5" t="s">
        <v>49</v>
      </c>
      <c r="F163" s="5" t="s">
        <v>141</v>
      </c>
      <c r="G163" s="5" t="n">
        <f aca="false">LEN(TRIM(D163))-LEN(SUBSTITUTE(TRIM(D163)," ",""))+1</f>
        <v>17</v>
      </c>
      <c r="H163" s="5" t="str">
        <f aca="false">IF(G163&lt;40,"short",IF(G163&lt;100,"medium",IF(G163&lt;=200,"long","very long")))</f>
        <v>short</v>
      </c>
      <c r="I163" s="5" t="s">
        <v>29</v>
      </c>
      <c r="J163" s="5" t="n">
        <v>2</v>
      </c>
    </row>
    <row r="164" customFormat="false" ht="15" hidden="false" customHeight="false" outlineLevel="0" collapsed="false">
      <c r="A164" s="5" t="s">
        <v>386</v>
      </c>
      <c r="B164" s="5" t="s">
        <v>24</v>
      </c>
      <c r="C164" s="5" t="s">
        <v>25</v>
      </c>
      <c r="D164" s="5" t="s">
        <v>387</v>
      </c>
      <c r="E164" s="5" t="s">
        <v>43</v>
      </c>
      <c r="F164" s="5" t="s">
        <v>141</v>
      </c>
      <c r="G164" s="5" t="n">
        <f aca="false">LEN(TRIM(D164))-LEN(SUBSTITUTE(TRIM(D164)," ",""))+1</f>
        <v>18</v>
      </c>
      <c r="H164" s="5" t="str">
        <f aca="false">IF(G164&lt;40,"short",IF(G164&lt;100,"medium",IF(G164&lt;=200,"long","very long")))</f>
        <v>short</v>
      </c>
      <c r="I164" s="5" t="s">
        <v>29</v>
      </c>
      <c r="J164" s="5" t="n">
        <v>2</v>
      </c>
    </row>
    <row r="165" customFormat="false" ht="23.85" hidden="false" customHeight="false" outlineLevel="0" collapsed="false">
      <c r="A165" s="5" t="s">
        <v>388</v>
      </c>
      <c r="B165" s="5" t="s">
        <v>24</v>
      </c>
      <c r="C165" s="5" t="s">
        <v>25</v>
      </c>
      <c r="D165" s="5" t="s">
        <v>389</v>
      </c>
      <c r="E165" s="5" t="s">
        <v>182</v>
      </c>
      <c r="F165" s="5" t="s">
        <v>173</v>
      </c>
      <c r="G165" s="5" t="n">
        <f aca="false">LEN(TRIM(D165))-LEN(SUBSTITUTE(TRIM(D165)," ",""))+1</f>
        <v>43</v>
      </c>
      <c r="H165" s="5" t="str">
        <f aca="false">IF(G165&lt;40,"short",IF(G165&lt;100,"medium",IF(G165&lt;=200,"long","very long")))</f>
        <v>medium</v>
      </c>
      <c r="I165" s="5" t="s">
        <v>29</v>
      </c>
      <c r="J165" s="5" t="n">
        <v>2</v>
      </c>
    </row>
    <row r="166" customFormat="false" ht="35.05" hidden="false" customHeight="false" outlineLevel="0" collapsed="false">
      <c r="A166" s="5" t="s">
        <v>390</v>
      </c>
      <c r="B166" s="5" t="s">
        <v>24</v>
      </c>
      <c r="C166" s="5" t="s">
        <v>25</v>
      </c>
      <c r="D166" s="5" t="s">
        <v>391</v>
      </c>
      <c r="E166" s="5" t="s">
        <v>179</v>
      </c>
      <c r="F166" s="5" t="s">
        <v>173</v>
      </c>
      <c r="G166" s="5" t="n">
        <f aca="false">LEN(TRIM(D166))-LEN(SUBSTITUTE(TRIM(D166)," ",""))+1</f>
        <v>53</v>
      </c>
      <c r="H166" s="5" t="str">
        <f aca="false">IF(G166&lt;40,"short",IF(G166&lt;100,"medium",IF(G166&lt;=200,"long","very long")))</f>
        <v>medium</v>
      </c>
      <c r="I166" s="5" t="s">
        <v>29</v>
      </c>
      <c r="J166" s="5" t="n">
        <v>2</v>
      </c>
    </row>
    <row r="167" customFormat="false" ht="35.05" hidden="false" customHeight="false" outlineLevel="0" collapsed="false">
      <c r="A167" s="5" t="s">
        <v>392</v>
      </c>
      <c r="B167" s="5" t="s">
        <v>24</v>
      </c>
      <c r="C167" s="5" t="s">
        <v>25</v>
      </c>
      <c r="D167" s="5" t="s">
        <v>393</v>
      </c>
      <c r="E167" s="5" t="s">
        <v>394</v>
      </c>
      <c r="F167" s="5" t="s">
        <v>173</v>
      </c>
      <c r="G167" s="5" t="n">
        <f aca="false">LEN(TRIM(D167))-LEN(SUBSTITUTE(TRIM(D167)," ",""))+1</f>
        <v>45</v>
      </c>
      <c r="H167" s="5" t="str">
        <f aca="false">IF(G167&lt;40,"short",IF(G167&lt;100,"medium",IF(G167&lt;=200,"long","very long")))</f>
        <v>medium</v>
      </c>
      <c r="I167" s="5" t="s">
        <v>29</v>
      </c>
      <c r="J167" s="5" t="n">
        <v>2</v>
      </c>
    </row>
    <row r="168" customFormat="false" ht="35.05" hidden="false" customHeight="false" outlineLevel="0" collapsed="false">
      <c r="A168" s="5" t="s">
        <v>395</v>
      </c>
      <c r="B168" s="5" t="s">
        <v>24</v>
      </c>
      <c r="C168" s="5" t="s">
        <v>25</v>
      </c>
      <c r="D168" s="5" t="s">
        <v>396</v>
      </c>
      <c r="E168" s="5" t="s">
        <v>193</v>
      </c>
      <c r="F168" s="5" t="s">
        <v>173</v>
      </c>
      <c r="G168" s="5" t="n">
        <f aca="false">LEN(TRIM(D168))-LEN(SUBSTITUTE(TRIM(D168)," ",""))+1</f>
        <v>50</v>
      </c>
      <c r="H168" s="5" t="str">
        <f aca="false">IF(G168&lt;40,"short",IF(G168&lt;100,"medium",IF(G168&lt;=200,"long","very long")))</f>
        <v>medium</v>
      </c>
      <c r="I168" s="5" t="s">
        <v>29</v>
      </c>
      <c r="J168" s="5" t="n">
        <v>2</v>
      </c>
    </row>
    <row r="169" customFormat="false" ht="35.05" hidden="false" customHeight="false" outlineLevel="0" collapsed="false">
      <c r="A169" s="5" t="s">
        <v>397</v>
      </c>
      <c r="B169" s="5" t="s">
        <v>24</v>
      </c>
      <c r="C169" s="5" t="s">
        <v>25</v>
      </c>
      <c r="D169" s="5" t="s">
        <v>398</v>
      </c>
      <c r="E169" s="5" t="s">
        <v>222</v>
      </c>
      <c r="F169" s="5" t="s">
        <v>173</v>
      </c>
      <c r="G169" s="5" t="n">
        <f aca="false">LEN(TRIM(D169))-LEN(SUBSTITUTE(TRIM(D169)," ",""))+1</f>
        <v>45</v>
      </c>
      <c r="H169" s="5" t="str">
        <f aca="false">IF(G169&lt;40,"short",IF(G169&lt;100,"medium",IF(G169&lt;=200,"long","very long")))</f>
        <v>medium</v>
      </c>
      <c r="I169" s="5" t="s">
        <v>29</v>
      </c>
      <c r="J169" s="5" t="n">
        <v>2</v>
      </c>
    </row>
    <row r="170" customFormat="false" ht="35.05" hidden="false" customHeight="false" outlineLevel="0" collapsed="false">
      <c r="A170" s="5" t="s">
        <v>399</v>
      </c>
      <c r="B170" s="5" t="s">
        <v>24</v>
      </c>
      <c r="C170" s="5" t="s">
        <v>25</v>
      </c>
      <c r="D170" s="5" t="s">
        <v>400</v>
      </c>
      <c r="E170" s="5" t="s">
        <v>179</v>
      </c>
      <c r="F170" s="5" t="s">
        <v>173</v>
      </c>
      <c r="G170" s="5" t="n">
        <f aca="false">LEN(TRIM(D170))-LEN(SUBSTITUTE(TRIM(D170)," ",""))+1</f>
        <v>52</v>
      </c>
      <c r="H170" s="5" t="str">
        <f aca="false">IF(G170&lt;40,"short",IF(G170&lt;100,"medium",IF(G170&lt;=200,"long","very long")))</f>
        <v>medium</v>
      </c>
      <c r="I170" s="5" t="s">
        <v>29</v>
      </c>
      <c r="J170" s="5" t="n">
        <v>2</v>
      </c>
    </row>
    <row r="171" customFormat="false" ht="35.05" hidden="false" customHeight="false" outlineLevel="0" collapsed="false">
      <c r="A171" s="5" t="s">
        <v>401</v>
      </c>
      <c r="B171" s="5" t="s">
        <v>24</v>
      </c>
      <c r="C171" s="5" t="s">
        <v>25</v>
      </c>
      <c r="D171" s="5" t="s">
        <v>402</v>
      </c>
      <c r="E171" s="5" t="s">
        <v>403</v>
      </c>
      <c r="F171" s="5" t="s">
        <v>173</v>
      </c>
      <c r="G171" s="5" t="n">
        <f aca="false">LEN(TRIM(D171))-LEN(SUBSTITUTE(TRIM(D171)," ",""))+1</f>
        <v>54</v>
      </c>
      <c r="H171" s="5" t="str">
        <f aca="false">IF(G171&lt;40,"short",IF(G171&lt;100,"medium",IF(G171&lt;=200,"long","very long")))</f>
        <v>medium</v>
      </c>
      <c r="I171" s="5" t="s">
        <v>29</v>
      </c>
      <c r="J171" s="5" t="n">
        <v>2</v>
      </c>
    </row>
    <row r="172" customFormat="false" ht="23.85" hidden="false" customHeight="false" outlineLevel="0" collapsed="false">
      <c r="A172" s="5" t="s">
        <v>404</v>
      </c>
      <c r="B172" s="5" t="s">
        <v>24</v>
      </c>
      <c r="C172" s="5" t="s">
        <v>25</v>
      </c>
      <c r="D172" s="5" t="s">
        <v>405</v>
      </c>
      <c r="E172" s="5" t="s">
        <v>406</v>
      </c>
      <c r="F172" s="5" t="s">
        <v>173</v>
      </c>
      <c r="G172" s="5" t="n">
        <f aca="false">LEN(TRIM(D172))-LEN(SUBSTITUTE(TRIM(D172)," ",""))+1</f>
        <v>45</v>
      </c>
      <c r="H172" s="5" t="str">
        <f aca="false">IF(G172&lt;40,"short",IF(G172&lt;100,"medium",IF(G172&lt;=200,"long","very long")))</f>
        <v>medium</v>
      </c>
      <c r="I172" s="5" t="s">
        <v>29</v>
      </c>
      <c r="J172" s="5" t="n">
        <v>2</v>
      </c>
    </row>
    <row r="173" customFormat="false" ht="35.05" hidden="false" customHeight="false" outlineLevel="0" collapsed="false">
      <c r="A173" s="5" t="s">
        <v>407</v>
      </c>
      <c r="B173" s="5" t="s">
        <v>24</v>
      </c>
      <c r="C173" s="5" t="s">
        <v>25</v>
      </c>
      <c r="D173" s="5" t="s">
        <v>408</v>
      </c>
      <c r="E173" s="5" t="s">
        <v>213</v>
      </c>
      <c r="F173" s="5" t="s">
        <v>173</v>
      </c>
      <c r="G173" s="5" t="n">
        <f aca="false">LEN(TRIM(D173))-LEN(SUBSTITUTE(TRIM(D173)," ",""))+1</f>
        <v>49</v>
      </c>
      <c r="H173" s="5" t="str">
        <f aca="false">IF(G173&lt;40,"short",IF(G173&lt;100,"medium",IF(G173&lt;=200,"long","very long")))</f>
        <v>medium</v>
      </c>
      <c r="I173" s="5" t="s">
        <v>29</v>
      </c>
      <c r="J173" s="5" t="n">
        <v>2</v>
      </c>
    </row>
    <row r="174" customFormat="false" ht="35.05" hidden="false" customHeight="false" outlineLevel="0" collapsed="false">
      <c r="A174" s="5" t="s">
        <v>409</v>
      </c>
      <c r="B174" s="5" t="s">
        <v>24</v>
      </c>
      <c r="C174" s="5" t="s">
        <v>25</v>
      </c>
      <c r="D174" s="5" t="s">
        <v>410</v>
      </c>
      <c r="E174" s="5" t="s">
        <v>411</v>
      </c>
      <c r="F174" s="5" t="s">
        <v>173</v>
      </c>
      <c r="G174" s="5" t="n">
        <f aca="false">LEN(TRIM(D174))-LEN(SUBSTITUTE(TRIM(D174)," ",""))+1</f>
        <v>48</v>
      </c>
      <c r="H174" s="5" t="str">
        <f aca="false">IF(G174&lt;40,"short",IF(G174&lt;100,"medium",IF(G174&lt;=200,"long","very long")))</f>
        <v>medium</v>
      </c>
      <c r="I174" s="5" t="s">
        <v>29</v>
      </c>
      <c r="J174" s="5" t="n">
        <v>2</v>
      </c>
    </row>
    <row r="175" customFormat="false" ht="23.85" hidden="false" customHeight="false" outlineLevel="0" collapsed="false">
      <c r="A175" s="5" t="s">
        <v>412</v>
      </c>
      <c r="B175" s="5" t="s">
        <v>24</v>
      </c>
      <c r="C175" s="5" t="s">
        <v>25</v>
      </c>
      <c r="D175" s="5" t="s">
        <v>413</v>
      </c>
      <c r="E175" s="5" t="s">
        <v>414</v>
      </c>
      <c r="F175" s="5" t="s">
        <v>173</v>
      </c>
      <c r="G175" s="5" t="n">
        <f aca="false">LEN(TRIM(D175))-LEN(SUBSTITUTE(TRIM(D175)," ",""))+1</f>
        <v>42</v>
      </c>
      <c r="H175" s="5" t="str">
        <f aca="false">IF(G175&lt;40,"short",IF(G175&lt;100,"medium",IF(G175&lt;=200,"long","very long")))</f>
        <v>medium</v>
      </c>
      <c r="I175" s="5" t="s">
        <v>29</v>
      </c>
      <c r="J175" s="5" t="n">
        <v>2</v>
      </c>
    </row>
    <row r="176" customFormat="false" ht="23.85" hidden="false" customHeight="false" outlineLevel="0" collapsed="false">
      <c r="A176" s="5" t="s">
        <v>415</v>
      </c>
      <c r="B176" s="5" t="s">
        <v>24</v>
      </c>
      <c r="C176" s="5" t="s">
        <v>25</v>
      </c>
      <c r="D176" s="5" t="s">
        <v>416</v>
      </c>
      <c r="E176" s="5" t="s">
        <v>417</v>
      </c>
      <c r="F176" s="5" t="s">
        <v>173</v>
      </c>
      <c r="G176" s="5" t="n">
        <f aca="false">LEN(TRIM(D176))-LEN(SUBSTITUTE(TRIM(D176)," ",""))+1</f>
        <v>42</v>
      </c>
      <c r="H176" s="5" t="str">
        <f aca="false">IF(G176&lt;40,"short",IF(G176&lt;100,"medium",IF(G176&lt;=200,"long","very long")))</f>
        <v>medium</v>
      </c>
      <c r="I176" s="5" t="s">
        <v>29</v>
      </c>
      <c r="J176" s="5" t="n">
        <v>2</v>
      </c>
    </row>
    <row r="177" customFormat="false" ht="23.85" hidden="false" customHeight="false" outlineLevel="0" collapsed="false">
      <c r="A177" s="5" t="s">
        <v>418</v>
      </c>
      <c r="B177" s="5" t="s">
        <v>24</v>
      </c>
      <c r="C177" s="5" t="s">
        <v>25</v>
      </c>
      <c r="D177" s="5" t="s">
        <v>419</v>
      </c>
      <c r="E177" s="5" t="s">
        <v>172</v>
      </c>
      <c r="F177" s="5" t="s">
        <v>173</v>
      </c>
      <c r="G177" s="5" t="n">
        <f aca="false">LEN(TRIM(D177))-LEN(SUBSTITUTE(TRIM(D177)," ",""))+1</f>
        <v>39</v>
      </c>
      <c r="H177" s="5" t="str">
        <f aca="false">IF(G177&lt;40,"short",IF(G177&lt;100,"medium",IF(G177&lt;=200,"long","very long")))</f>
        <v>short</v>
      </c>
      <c r="I177" s="5" t="s">
        <v>29</v>
      </c>
      <c r="J177" s="5" t="n">
        <v>2</v>
      </c>
    </row>
    <row r="178" customFormat="false" ht="23.85" hidden="false" customHeight="false" outlineLevel="0" collapsed="false">
      <c r="A178" s="5" t="s">
        <v>420</v>
      </c>
      <c r="B178" s="5" t="s">
        <v>24</v>
      </c>
      <c r="C178" s="5" t="s">
        <v>25</v>
      </c>
      <c r="D178" s="5" t="s">
        <v>421</v>
      </c>
      <c r="E178" s="5" t="s">
        <v>172</v>
      </c>
      <c r="F178" s="5" t="s">
        <v>173</v>
      </c>
      <c r="G178" s="5" t="n">
        <f aca="false">LEN(TRIM(D178))-LEN(SUBSTITUTE(TRIM(D178)," ",""))+1</f>
        <v>37</v>
      </c>
      <c r="H178" s="5" t="str">
        <f aca="false">IF(G178&lt;40,"short",IF(G178&lt;100,"medium",IF(G178&lt;=200,"long","very long")))</f>
        <v>short</v>
      </c>
      <c r="I178" s="5" t="s">
        <v>29</v>
      </c>
      <c r="J178" s="5" t="n">
        <v>2</v>
      </c>
    </row>
    <row r="179" customFormat="false" ht="23.85" hidden="false" customHeight="false" outlineLevel="0" collapsed="false">
      <c r="A179" s="5" t="s">
        <v>422</v>
      </c>
      <c r="B179" s="5" t="s">
        <v>24</v>
      </c>
      <c r="C179" s="5" t="s">
        <v>25</v>
      </c>
      <c r="D179" s="5" t="s">
        <v>423</v>
      </c>
      <c r="E179" s="5" t="s">
        <v>424</v>
      </c>
      <c r="F179" s="5" t="s">
        <v>173</v>
      </c>
      <c r="G179" s="5" t="n">
        <f aca="false">LEN(TRIM(D179))-LEN(SUBSTITUTE(TRIM(D179)," ",""))+1</f>
        <v>47</v>
      </c>
      <c r="H179" s="5" t="str">
        <f aca="false">IF(G179&lt;40,"short",IF(G179&lt;100,"medium",IF(G179&lt;=200,"long","very long")))</f>
        <v>medium</v>
      </c>
      <c r="I179" s="5" t="s">
        <v>29</v>
      </c>
      <c r="J179" s="5" t="n">
        <v>2</v>
      </c>
    </row>
    <row r="180" customFormat="false" ht="35.05" hidden="false" customHeight="false" outlineLevel="0" collapsed="false">
      <c r="A180" s="5" t="s">
        <v>425</v>
      </c>
      <c r="B180" s="5" t="s">
        <v>24</v>
      </c>
      <c r="C180" s="5" t="s">
        <v>25</v>
      </c>
      <c r="D180" s="5" t="s">
        <v>426</v>
      </c>
      <c r="E180" s="5" t="s">
        <v>394</v>
      </c>
      <c r="F180" s="5" t="s">
        <v>173</v>
      </c>
      <c r="G180" s="5" t="n">
        <f aca="false">LEN(TRIM(D180))-LEN(SUBSTITUTE(TRIM(D180)," ",""))+1</f>
        <v>45</v>
      </c>
      <c r="H180" s="5" t="str">
        <f aca="false">IF(G180&lt;40,"short",IF(G180&lt;100,"medium",IF(G180&lt;=200,"long","very long")))</f>
        <v>medium</v>
      </c>
      <c r="I180" s="5" t="s">
        <v>29</v>
      </c>
      <c r="J180" s="5" t="n">
        <v>2</v>
      </c>
    </row>
    <row r="181" customFormat="false" ht="23.85" hidden="false" customHeight="false" outlineLevel="0" collapsed="false">
      <c r="A181" s="5" t="s">
        <v>427</v>
      </c>
      <c r="B181" s="5" t="s">
        <v>24</v>
      </c>
      <c r="C181" s="5" t="s">
        <v>25</v>
      </c>
      <c r="D181" s="5" t="s">
        <v>428</v>
      </c>
      <c r="E181" s="5" t="s">
        <v>429</v>
      </c>
      <c r="F181" s="5" t="s">
        <v>173</v>
      </c>
      <c r="G181" s="5" t="n">
        <f aca="false">LEN(TRIM(D181))-LEN(SUBSTITUTE(TRIM(D181)," ",""))+1</f>
        <v>36</v>
      </c>
      <c r="H181" s="5" t="str">
        <f aca="false">IF(G181&lt;40,"short",IF(G181&lt;100,"medium",IF(G181&lt;=200,"long","very long")))</f>
        <v>short</v>
      </c>
      <c r="I181" s="5" t="s">
        <v>29</v>
      </c>
      <c r="J181" s="5" t="n">
        <v>2</v>
      </c>
    </row>
    <row r="182" customFormat="false" ht="23.85" hidden="false" customHeight="false" outlineLevel="0" collapsed="false">
      <c r="A182" s="5" t="s">
        <v>430</v>
      </c>
      <c r="B182" s="5" t="s">
        <v>24</v>
      </c>
      <c r="C182" s="5" t="s">
        <v>25</v>
      </c>
      <c r="D182" s="5" t="s">
        <v>431</v>
      </c>
      <c r="E182" s="5" t="s">
        <v>432</v>
      </c>
      <c r="F182" s="5" t="s">
        <v>173</v>
      </c>
      <c r="G182" s="5" t="n">
        <f aca="false">LEN(TRIM(D182))-LEN(SUBSTITUTE(TRIM(D182)," ",""))+1</f>
        <v>43</v>
      </c>
      <c r="H182" s="5" t="str">
        <f aca="false">IF(G182&lt;40,"short",IF(G182&lt;100,"medium",IF(G182&lt;=200,"long","very long")))</f>
        <v>medium</v>
      </c>
      <c r="I182" s="5" t="s">
        <v>29</v>
      </c>
      <c r="J182" s="5" t="n">
        <v>2</v>
      </c>
    </row>
    <row r="183" customFormat="false" ht="23.85" hidden="false" customHeight="false" outlineLevel="0" collapsed="false">
      <c r="A183" s="5" t="s">
        <v>433</v>
      </c>
      <c r="B183" s="5" t="s">
        <v>24</v>
      </c>
      <c r="C183" s="5" t="s">
        <v>25</v>
      </c>
      <c r="D183" s="5" t="s">
        <v>434</v>
      </c>
      <c r="E183" s="5" t="s">
        <v>435</v>
      </c>
      <c r="F183" s="5" t="s">
        <v>173</v>
      </c>
      <c r="G183" s="5" t="n">
        <f aca="false">LEN(TRIM(D183))-LEN(SUBSTITUTE(TRIM(D183)," ",""))+1</f>
        <v>37</v>
      </c>
      <c r="H183" s="5" t="str">
        <f aca="false">IF(G183&lt;40,"short",IF(G183&lt;100,"medium",IF(G183&lt;=200,"long","very long")))</f>
        <v>short</v>
      </c>
      <c r="I183" s="5" t="s">
        <v>29</v>
      </c>
      <c r="J183" s="5" t="n">
        <v>2</v>
      </c>
    </row>
    <row r="184" customFormat="false" ht="23.85" hidden="false" customHeight="false" outlineLevel="0" collapsed="false">
      <c r="A184" s="5" t="s">
        <v>436</v>
      </c>
      <c r="B184" s="5" t="s">
        <v>24</v>
      </c>
      <c r="C184" s="5" t="s">
        <v>25</v>
      </c>
      <c r="D184" s="5" t="s">
        <v>437</v>
      </c>
      <c r="E184" s="5" t="s">
        <v>394</v>
      </c>
      <c r="F184" s="5" t="s">
        <v>173</v>
      </c>
      <c r="G184" s="5" t="n">
        <f aca="false">LEN(TRIM(D184))-LEN(SUBSTITUTE(TRIM(D184)," ",""))+1</f>
        <v>40</v>
      </c>
      <c r="H184" s="5" t="str">
        <f aca="false">IF(G184&lt;40,"short",IF(G184&lt;100,"medium",IF(G184&lt;=200,"long","very long")))</f>
        <v>medium</v>
      </c>
      <c r="I184" s="5" t="s">
        <v>29</v>
      </c>
      <c r="J184" s="5" t="n">
        <v>2</v>
      </c>
    </row>
    <row r="185" customFormat="false" ht="23.85" hidden="false" customHeight="false" outlineLevel="0" collapsed="false">
      <c r="A185" s="5" t="s">
        <v>438</v>
      </c>
      <c r="B185" s="5" t="s">
        <v>24</v>
      </c>
      <c r="C185" s="5" t="s">
        <v>25</v>
      </c>
      <c r="D185" s="5" t="s">
        <v>439</v>
      </c>
      <c r="E185" s="5" t="s">
        <v>172</v>
      </c>
      <c r="F185" s="5" t="s">
        <v>228</v>
      </c>
      <c r="G185" s="5" t="n">
        <f aca="false">LEN(TRIM(D185))-LEN(SUBSTITUTE(TRIM(D185)," ",""))+1</f>
        <v>34</v>
      </c>
      <c r="H185" s="5" t="str">
        <f aca="false">IF(G185&lt;40,"short",IF(G185&lt;100,"medium",IF(G185&lt;=200,"long","very long")))</f>
        <v>short</v>
      </c>
      <c r="I185" s="5" t="s">
        <v>29</v>
      </c>
      <c r="J185" s="5" t="n">
        <v>2</v>
      </c>
    </row>
    <row r="186" customFormat="false" ht="35.05" hidden="false" customHeight="false" outlineLevel="0" collapsed="false">
      <c r="A186" s="5" t="s">
        <v>440</v>
      </c>
      <c r="B186" s="5" t="s">
        <v>24</v>
      </c>
      <c r="C186" s="5" t="s">
        <v>25</v>
      </c>
      <c r="D186" s="5" t="s">
        <v>441</v>
      </c>
      <c r="E186" s="5" t="s">
        <v>179</v>
      </c>
      <c r="F186" s="5" t="s">
        <v>228</v>
      </c>
      <c r="G186" s="5" t="n">
        <f aca="false">LEN(TRIM(D186))-LEN(SUBSTITUTE(TRIM(D186)," ",""))+1</f>
        <v>45</v>
      </c>
      <c r="H186" s="5" t="str">
        <f aca="false">IF(G186&lt;40,"short",IF(G186&lt;100,"medium",IF(G186&lt;=200,"long","very long")))</f>
        <v>medium</v>
      </c>
      <c r="I186" s="5" t="s">
        <v>29</v>
      </c>
      <c r="J186" s="5" t="n">
        <v>2</v>
      </c>
    </row>
    <row r="187" customFormat="false" ht="23.85" hidden="false" customHeight="false" outlineLevel="0" collapsed="false">
      <c r="A187" s="5" t="s">
        <v>442</v>
      </c>
      <c r="B187" s="5" t="s">
        <v>24</v>
      </c>
      <c r="C187" s="5" t="s">
        <v>25</v>
      </c>
      <c r="D187" s="5" t="s">
        <v>443</v>
      </c>
      <c r="E187" s="5" t="s">
        <v>394</v>
      </c>
      <c r="F187" s="5" t="s">
        <v>228</v>
      </c>
      <c r="G187" s="5" t="n">
        <f aca="false">LEN(TRIM(D187))-LEN(SUBSTITUTE(TRIM(D187)," ",""))+1</f>
        <v>40</v>
      </c>
      <c r="H187" s="5" t="str">
        <f aca="false">IF(G187&lt;40,"short",IF(G187&lt;100,"medium",IF(G187&lt;=200,"long","very long")))</f>
        <v>medium</v>
      </c>
      <c r="I187" s="5" t="s">
        <v>29</v>
      </c>
      <c r="J187" s="5" t="n">
        <v>2</v>
      </c>
    </row>
    <row r="188" customFormat="false" ht="35.05" hidden="false" customHeight="false" outlineLevel="0" collapsed="false">
      <c r="A188" s="5" t="s">
        <v>444</v>
      </c>
      <c r="B188" s="5" t="s">
        <v>24</v>
      </c>
      <c r="C188" s="5" t="s">
        <v>25</v>
      </c>
      <c r="D188" s="5" t="s">
        <v>445</v>
      </c>
      <c r="E188" s="5" t="s">
        <v>424</v>
      </c>
      <c r="F188" s="5" t="s">
        <v>228</v>
      </c>
      <c r="G188" s="5" t="n">
        <f aca="false">LEN(TRIM(D188))-LEN(SUBSTITUTE(TRIM(D188)," ",""))+1</f>
        <v>55</v>
      </c>
      <c r="H188" s="5" t="str">
        <f aca="false">IF(G188&lt;40,"short",IF(G188&lt;100,"medium",IF(G188&lt;=200,"long","very long")))</f>
        <v>medium</v>
      </c>
      <c r="I188" s="5" t="s">
        <v>29</v>
      </c>
      <c r="J188" s="5" t="n">
        <v>2</v>
      </c>
    </row>
    <row r="189" customFormat="false" ht="23.85" hidden="false" customHeight="false" outlineLevel="0" collapsed="false">
      <c r="A189" s="5" t="s">
        <v>446</v>
      </c>
      <c r="B189" s="5" t="s">
        <v>24</v>
      </c>
      <c r="C189" s="5" t="s">
        <v>25</v>
      </c>
      <c r="D189" s="5" t="s">
        <v>447</v>
      </c>
      <c r="E189" s="5" t="s">
        <v>225</v>
      </c>
      <c r="F189" s="5" t="s">
        <v>228</v>
      </c>
      <c r="G189" s="5" t="n">
        <f aca="false">LEN(TRIM(D189))-LEN(SUBSTITUTE(TRIM(D189)," ",""))+1</f>
        <v>44</v>
      </c>
      <c r="H189" s="5" t="str">
        <f aca="false">IF(G189&lt;40,"short",IF(G189&lt;100,"medium",IF(G189&lt;=200,"long","very long")))</f>
        <v>medium</v>
      </c>
      <c r="I189" s="5" t="s">
        <v>29</v>
      </c>
      <c r="J189" s="5" t="n">
        <v>2</v>
      </c>
    </row>
    <row r="190" customFormat="false" ht="23.85" hidden="false" customHeight="false" outlineLevel="0" collapsed="false">
      <c r="A190" s="5" t="s">
        <v>448</v>
      </c>
      <c r="B190" s="5" t="s">
        <v>24</v>
      </c>
      <c r="C190" s="5" t="s">
        <v>25</v>
      </c>
      <c r="D190" s="5" t="s">
        <v>449</v>
      </c>
      <c r="E190" s="5" t="s">
        <v>172</v>
      </c>
      <c r="F190" s="5" t="s">
        <v>228</v>
      </c>
      <c r="G190" s="5" t="n">
        <f aca="false">LEN(TRIM(D190))-LEN(SUBSTITUTE(TRIM(D190)," ",""))+1</f>
        <v>40</v>
      </c>
      <c r="H190" s="5" t="str">
        <f aca="false">IF(G190&lt;40,"short",IF(G190&lt;100,"medium",IF(G190&lt;=200,"long","very long")))</f>
        <v>medium</v>
      </c>
      <c r="I190" s="5" t="s">
        <v>29</v>
      </c>
      <c r="J190" s="5" t="n">
        <v>2</v>
      </c>
    </row>
    <row r="191" customFormat="false" ht="15" hidden="false" customHeight="false" outlineLevel="0" collapsed="false">
      <c r="A191" s="5" t="s">
        <v>450</v>
      </c>
      <c r="B191" s="5" t="s">
        <v>24</v>
      </c>
      <c r="C191" s="5" t="s">
        <v>25</v>
      </c>
      <c r="D191" s="5" t="s">
        <v>451</v>
      </c>
      <c r="E191" s="5" t="s">
        <v>38</v>
      </c>
      <c r="F191" s="5" t="s">
        <v>241</v>
      </c>
      <c r="G191" s="5" t="n">
        <f aca="false">LEN(TRIM(D191))-LEN(SUBSTITUTE(TRIM(D191)," ",""))+1</f>
        <v>4</v>
      </c>
      <c r="H191" s="5" t="str">
        <f aca="false">IF(G191&lt;40,"short",IF(G191&lt;100,"medium",IF(G191&lt;=200,"long","very long")))</f>
        <v>short</v>
      </c>
      <c r="I191" s="5" t="s">
        <v>29</v>
      </c>
      <c r="J191" s="5" t="n">
        <v>2</v>
      </c>
    </row>
    <row r="192" customFormat="false" ht="15" hidden="false" customHeight="false" outlineLevel="0" collapsed="false">
      <c r="A192" s="5" t="s">
        <v>452</v>
      </c>
      <c r="B192" s="5" t="s">
        <v>24</v>
      </c>
      <c r="C192" s="5" t="s">
        <v>25</v>
      </c>
      <c r="D192" s="5" t="s">
        <v>453</v>
      </c>
      <c r="E192" s="5" t="s">
        <v>67</v>
      </c>
      <c r="F192" s="5" t="s">
        <v>241</v>
      </c>
      <c r="G192" s="5" t="n">
        <f aca="false">LEN(TRIM(D192))-LEN(SUBSTITUTE(TRIM(D192)," ",""))+1</f>
        <v>2</v>
      </c>
      <c r="H192" s="5" t="str">
        <f aca="false">IF(G192&lt;40,"short",IF(G192&lt;100,"medium",IF(G192&lt;=200,"long","very long")))</f>
        <v>short</v>
      </c>
      <c r="I192" s="5" t="s">
        <v>29</v>
      </c>
      <c r="J192" s="5" t="n">
        <v>2</v>
      </c>
    </row>
    <row r="193" customFormat="false" ht="15" hidden="false" customHeight="false" outlineLevel="0" collapsed="false">
      <c r="A193" s="5" t="s">
        <v>454</v>
      </c>
      <c r="B193" s="5" t="s">
        <v>24</v>
      </c>
      <c r="C193" s="5" t="s">
        <v>25</v>
      </c>
      <c r="D193" s="5" t="s">
        <v>455</v>
      </c>
      <c r="E193" s="5" t="s">
        <v>35</v>
      </c>
      <c r="F193" s="5" t="s">
        <v>241</v>
      </c>
      <c r="G193" s="5" t="n">
        <f aca="false">LEN(TRIM(D193))-LEN(SUBSTITUTE(TRIM(D193)," ",""))+1</f>
        <v>4</v>
      </c>
      <c r="H193" s="5" t="str">
        <f aca="false">IF(G193&lt;40,"short",IF(G193&lt;100,"medium",IF(G193&lt;=200,"long","very long")))</f>
        <v>short</v>
      </c>
      <c r="I193" s="5" t="s">
        <v>29</v>
      </c>
      <c r="J193" s="5" t="n">
        <v>2</v>
      </c>
    </row>
    <row r="194" customFormat="false" ht="15" hidden="false" customHeight="false" outlineLevel="0" collapsed="false">
      <c r="A194" s="5" t="s">
        <v>456</v>
      </c>
      <c r="B194" s="5" t="s">
        <v>24</v>
      </c>
      <c r="C194" s="5" t="s">
        <v>25</v>
      </c>
      <c r="D194" s="5" t="s">
        <v>457</v>
      </c>
      <c r="E194" s="5" t="s">
        <v>49</v>
      </c>
      <c r="F194" s="5" t="s">
        <v>241</v>
      </c>
      <c r="G194" s="5" t="n">
        <f aca="false">LEN(TRIM(D194))-LEN(SUBSTITUTE(TRIM(D194)," ",""))+1</f>
        <v>5</v>
      </c>
      <c r="H194" s="5" t="str">
        <f aca="false">IF(G194&lt;40,"short",IF(G194&lt;100,"medium",IF(G194&lt;=200,"long","very long")))</f>
        <v>short</v>
      </c>
      <c r="I194" s="5" t="s">
        <v>29</v>
      </c>
      <c r="J194" s="5" t="n">
        <v>2</v>
      </c>
    </row>
    <row r="195" customFormat="false" ht="15" hidden="false" customHeight="false" outlineLevel="0" collapsed="false">
      <c r="A195" s="5" t="s">
        <v>458</v>
      </c>
      <c r="B195" s="5" t="s">
        <v>24</v>
      </c>
      <c r="C195" s="5" t="s">
        <v>25</v>
      </c>
      <c r="D195" s="5" t="s">
        <v>459</v>
      </c>
      <c r="E195" s="5" t="s">
        <v>27</v>
      </c>
      <c r="F195" s="5" t="s">
        <v>241</v>
      </c>
      <c r="G195" s="5" t="n">
        <f aca="false">LEN(TRIM(D195))-LEN(SUBSTITUTE(TRIM(D195)," ",""))+1</f>
        <v>2</v>
      </c>
      <c r="H195" s="5" t="str">
        <f aca="false">IF(G195&lt;40,"short",IF(G195&lt;100,"medium",IF(G195&lt;=200,"long","very long")))</f>
        <v>short</v>
      </c>
      <c r="I195" s="5" t="s">
        <v>29</v>
      </c>
      <c r="J195" s="5" t="n">
        <v>2</v>
      </c>
    </row>
    <row r="196" customFormat="false" ht="23.85" hidden="false" customHeight="false" outlineLevel="0" collapsed="false">
      <c r="A196" s="5" t="s">
        <v>460</v>
      </c>
      <c r="B196" s="5" t="s">
        <v>24</v>
      </c>
      <c r="C196" s="5" t="s">
        <v>25</v>
      </c>
      <c r="D196" s="5" t="s">
        <v>461</v>
      </c>
      <c r="E196" s="5" t="s">
        <v>252</v>
      </c>
      <c r="F196" s="5" t="s">
        <v>253</v>
      </c>
      <c r="G196" s="5" t="n">
        <f aca="false">LEN(TRIM(D196))-LEN(SUBSTITUTE(TRIM(D196)," ",""))+1</f>
        <v>32</v>
      </c>
      <c r="H196" s="5" t="str">
        <f aca="false">IF(G196&lt;40,"short",IF(G196&lt;100,"medium",IF(G196&lt;=200,"long","very long")))</f>
        <v>short</v>
      </c>
      <c r="I196" s="5" t="s">
        <v>29</v>
      </c>
      <c r="J196" s="5" t="n">
        <v>2</v>
      </c>
    </row>
    <row r="197" customFormat="false" ht="23.85" hidden="false" customHeight="false" outlineLevel="0" collapsed="false">
      <c r="A197" s="5" t="s">
        <v>462</v>
      </c>
      <c r="B197" s="5" t="s">
        <v>24</v>
      </c>
      <c r="C197" s="5" t="s">
        <v>25</v>
      </c>
      <c r="D197" s="5" t="s">
        <v>463</v>
      </c>
      <c r="E197" s="5" t="s">
        <v>252</v>
      </c>
      <c r="F197" s="5" t="s">
        <v>253</v>
      </c>
      <c r="G197" s="5" t="n">
        <f aca="false">LEN(TRIM(D197))-LEN(SUBSTITUTE(TRIM(D197)," ",""))+1</f>
        <v>34</v>
      </c>
      <c r="H197" s="5" t="str">
        <f aca="false">IF(G197&lt;40,"short",IF(G197&lt;100,"medium",IF(G197&lt;=200,"long","very long")))</f>
        <v>short</v>
      </c>
      <c r="I197" s="5" t="s">
        <v>29</v>
      </c>
      <c r="J197" s="5" t="n">
        <v>2</v>
      </c>
    </row>
    <row r="198" customFormat="false" ht="23.85" hidden="false" customHeight="false" outlineLevel="0" collapsed="false">
      <c r="A198" s="5" t="s">
        <v>464</v>
      </c>
      <c r="B198" s="5" t="s">
        <v>24</v>
      </c>
      <c r="C198" s="5" t="s">
        <v>25</v>
      </c>
      <c r="D198" s="5" t="s">
        <v>465</v>
      </c>
      <c r="E198" s="5" t="s">
        <v>252</v>
      </c>
      <c r="F198" s="5" t="s">
        <v>253</v>
      </c>
      <c r="G198" s="5" t="n">
        <f aca="false">LEN(TRIM(D198))-LEN(SUBSTITUTE(TRIM(D198)," ",""))+1</f>
        <v>34</v>
      </c>
      <c r="H198" s="5" t="str">
        <f aca="false">IF(G198&lt;40,"short",IF(G198&lt;100,"medium",IF(G198&lt;=200,"long","very long")))</f>
        <v>short</v>
      </c>
      <c r="I198" s="5" t="s">
        <v>29</v>
      </c>
      <c r="J198" s="5" t="n">
        <v>2</v>
      </c>
    </row>
    <row r="199" customFormat="false" ht="23.85" hidden="false" customHeight="false" outlineLevel="0" collapsed="false">
      <c r="A199" s="5" t="s">
        <v>466</v>
      </c>
      <c r="B199" s="5" t="s">
        <v>24</v>
      </c>
      <c r="C199" s="5" t="s">
        <v>25</v>
      </c>
      <c r="D199" s="5" t="s">
        <v>467</v>
      </c>
      <c r="E199" s="5" t="s">
        <v>252</v>
      </c>
      <c r="F199" s="5" t="s">
        <v>253</v>
      </c>
      <c r="G199" s="5" t="n">
        <f aca="false">LEN(TRIM(D199))-LEN(SUBSTITUTE(TRIM(D199)," ",""))+1</f>
        <v>34</v>
      </c>
      <c r="H199" s="5" t="str">
        <f aca="false">IF(G199&lt;40,"short",IF(G199&lt;100,"medium",IF(G199&lt;=200,"long","very long")))</f>
        <v>short</v>
      </c>
      <c r="I199" s="5" t="s">
        <v>29</v>
      </c>
      <c r="J199" s="5" t="n">
        <v>2</v>
      </c>
    </row>
    <row r="200" customFormat="false" ht="23.85" hidden="false" customHeight="false" outlineLevel="0" collapsed="false">
      <c r="A200" s="5" t="s">
        <v>468</v>
      </c>
      <c r="B200" s="5" t="s">
        <v>24</v>
      </c>
      <c r="C200" s="5" t="s">
        <v>25</v>
      </c>
      <c r="D200" s="5" t="s">
        <v>469</v>
      </c>
      <c r="E200" s="5" t="s">
        <v>252</v>
      </c>
      <c r="F200" s="5" t="s">
        <v>253</v>
      </c>
      <c r="G200" s="5" t="n">
        <f aca="false">LEN(TRIM(D200))-LEN(SUBSTITUTE(TRIM(D200)," ",""))+1</f>
        <v>21</v>
      </c>
      <c r="H200" s="5" t="str">
        <f aca="false">IF(G200&lt;40,"short",IF(G200&lt;100,"medium",IF(G200&lt;=200,"long","very long")))</f>
        <v>short</v>
      </c>
      <c r="I200" s="5" t="s">
        <v>29</v>
      </c>
      <c r="J200" s="5" t="n">
        <v>2</v>
      </c>
    </row>
    <row r="201" customFormat="false" ht="23.85" hidden="false" customHeight="false" outlineLevel="0" collapsed="false">
      <c r="A201" s="5" t="s">
        <v>470</v>
      </c>
      <c r="B201" s="5" t="s">
        <v>24</v>
      </c>
      <c r="C201" s="5" t="s">
        <v>25</v>
      </c>
      <c r="D201" s="5" t="s">
        <v>471</v>
      </c>
      <c r="E201" s="5" t="s">
        <v>252</v>
      </c>
      <c r="F201" s="5" t="s">
        <v>253</v>
      </c>
      <c r="G201" s="5" t="n">
        <f aca="false">LEN(TRIM(D201))-LEN(SUBSTITUTE(TRIM(D201)," ",""))+1</f>
        <v>30</v>
      </c>
      <c r="H201" s="5" t="str">
        <f aca="false">IF(G201&lt;40,"short",IF(G201&lt;100,"medium",IF(G201&lt;=200,"long","very long")))</f>
        <v>short</v>
      </c>
      <c r="I201" s="5" t="s">
        <v>29</v>
      </c>
      <c r="J201" s="5" t="n">
        <v>2</v>
      </c>
    </row>
    <row r="202" customFormat="false" ht="46.25" hidden="false" customHeight="false" outlineLevel="0" collapsed="false">
      <c r="A202" s="5" t="s">
        <v>472</v>
      </c>
      <c r="B202" s="5" t="s">
        <v>24</v>
      </c>
      <c r="C202" s="5" t="s">
        <v>25</v>
      </c>
      <c r="D202" s="5" t="s">
        <v>473</v>
      </c>
      <c r="E202" s="5" t="s">
        <v>32</v>
      </c>
      <c r="F202" s="5" t="s">
        <v>28</v>
      </c>
      <c r="G202" s="5" t="n">
        <f aca="false">LEN(TRIM(D202))-LEN(SUBSTITUTE(TRIM(D202)," ",""))+1</f>
        <v>76</v>
      </c>
      <c r="H202" s="5" t="str">
        <f aca="false">IF(G202&lt;40,"short",IF(G202&lt;100,"medium",IF(G202&lt;=200,"long","very long")))</f>
        <v>medium</v>
      </c>
      <c r="I202" s="5" t="s">
        <v>29</v>
      </c>
      <c r="J202" s="5" t="n">
        <v>3</v>
      </c>
    </row>
    <row r="203" customFormat="false" ht="57.45" hidden="false" customHeight="false" outlineLevel="0" collapsed="false">
      <c r="A203" s="5" t="s">
        <v>474</v>
      </c>
      <c r="B203" s="5" t="s">
        <v>24</v>
      </c>
      <c r="C203" s="5" t="s">
        <v>25</v>
      </c>
      <c r="D203" s="5" t="s">
        <v>475</v>
      </c>
      <c r="E203" s="5" t="s">
        <v>67</v>
      </c>
      <c r="F203" s="5" t="s">
        <v>28</v>
      </c>
      <c r="G203" s="5" t="n">
        <f aca="false">LEN(TRIM(D203))-LEN(SUBSTITUTE(TRIM(D203)," ",""))+1</f>
        <v>102</v>
      </c>
      <c r="H203" s="5" t="str">
        <f aca="false">IF(G203&lt;40,"short",IF(G203&lt;100,"medium",IF(G203&lt;=200,"long","very long")))</f>
        <v>long</v>
      </c>
      <c r="I203" s="5" t="s">
        <v>29</v>
      </c>
      <c r="J203" s="5" t="n">
        <v>3</v>
      </c>
    </row>
    <row r="204" customFormat="false" ht="23.85" hidden="false" customHeight="false" outlineLevel="0" collapsed="false">
      <c r="A204" s="5" t="s">
        <v>476</v>
      </c>
      <c r="B204" s="5" t="s">
        <v>24</v>
      </c>
      <c r="C204" s="5" t="s">
        <v>25</v>
      </c>
      <c r="D204" s="5" t="s">
        <v>477</v>
      </c>
      <c r="E204" s="5" t="s">
        <v>38</v>
      </c>
      <c r="F204" s="5" t="s">
        <v>28</v>
      </c>
      <c r="G204" s="5" t="n">
        <f aca="false">LEN(TRIM(D204))-LEN(SUBSTITUTE(TRIM(D204)," ",""))+1</f>
        <v>21</v>
      </c>
      <c r="H204" s="5" t="str">
        <f aca="false">IF(G204&lt;40,"short",IF(G204&lt;100,"medium",IF(G204&lt;=200,"long","very long")))</f>
        <v>short</v>
      </c>
      <c r="I204" s="5" t="s">
        <v>29</v>
      </c>
      <c r="J204" s="5" t="n">
        <v>3</v>
      </c>
    </row>
    <row r="205" customFormat="false" ht="68.65" hidden="false" customHeight="false" outlineLevel="0" collapsed="false">
      <c r="A205" s="5" t="s">
        <v>478</v>
      </c>
      <c r="B205" s="5" t="s">
        <v>24</v>
      </c>
      <c r="C205" s="5" t="s">
        <v>25</v>
      </c>
      <c r="D205" s="5" t="s">
        <v>479</v>
      </c>
      <c r="E205" s="5" t="s">
        <v>46</v>
      </c>
      <c r="F205" s="5" t="s">
        <v>28</v>
      </c>
      <c r="G205" s="5" t="n">
        <f aca="false">LEN(TRIM(D205))-LEN(SUBSTITUTE(TRIM(D205)," ",""))+1</f>
        <v>106</v>
      </c>
      <c r="H205" s="5" t="str">
        <f aca="false">IF(G205&lt;40,"short",IF(G205&lt;100,"medium",IF(G205&lt;=200,"long","very long")))</f>
        <v>long</v>
      </c>
      <c r="I205" s="5" t="s">
        <v>29</v>
      </c>
      <c r="J205" s="5" t="n">
        <v>3</v>
      </c>
    </row>
    <row r="206" customFormat="false" ht="23.85" hidden="false" customHeight="false" outlineLevel="0" collapsed="false">
      <c r="A206" s="5" t="s">
        <v>480</v>
      </c>
      <c r="B206" s="5" t="s">
        <v>24</v>
      </c>
      <c r="C206" s="5" t="s">
        <v>25</v>
      </c>
      <c r="D206" s="5" t="s">
        <v>481</v>
      </c>
      <c r="E206" s="5" t="s">
        <v>80</v>
      </c>
      <c r="F206" s="5" t="s">
        <v>28</v>
      </c>
      <c r="G206" s="5" t="n">
        <f aca="false">LEN(TRIM(D206))-LEN(SUBSTITUTE(TRIM(D206)," ",""))+1</f>
        <v>29</v>
      </c>
      <c r="H206" s="5" t="str">
        <f aca="false">IF(G206&lt;40,"short",IF(G206&lt;100,"medium",IF(G206&lt;=200,"long","very long")))</f>
        <v>short</v>
      </c>
      <c r="I206" s="5" t="s">
        <v>29</v>
      </c>
      <c r="J206" s="5" t="n">
        <v>3</v>
      </c>
    </row>
    <row r="207" customFormat="false" ht="57.45" hidden="false" customHeight="false" outlineLevel="0" collapsed="false">
      <c r="A207" s="5" t="s">
        <v>482</v>
      </c>
      <c r="B207" s="5" t="s">
        <v>24</v>
      </c>
      <c r="C207" s="5" t="s">
        <v>25</v>
      </c>
      <c r="D207" s="5" t="s">
        <v>483</v>
      </c>
      <c r="E207" s="5" t="s">
        <v>27</v>
      </c>
      <c r="F207" s="5" t="s">
        <v>28</v>
      </c>
      <c r="G207" s="5" t="n">
        <f aca="false">LEN(TRIM(D207))-LEN(SUBSTITUTE(TRIM(D207)," ",""))+1</f>
        <v>99</v>
      </c>
      <c r="H207" s="5" t="str">
        <f aca="false">IF(G207&lt;40,"short",IF(G207&lt;100,"medium",IF(G207&lt;=200,"long","very long")))</f>
        <v>medium</v>
      </c>
      <c r="I207" s="5" t="s">
        <v>29</v>
      </c>
      <c r="J207" s="5" t="n">
        <v>3</v>
      </c>
    </row>
    <row r="208" customFormat="false" ht="46.25" hidden="false" customHeight="false" outlineLevel="0" collapsed="false">
      <c r="A208" s="5" t="s">
        <v>484</v>
      </c>
      <c r="B208" s="5" t="s">
        <v>24</v>
      </c>
      <c r="C208" s="5" t="s">
        <v>25</v>
      </c>
      <c r="D208" s="5" t="s">
        <v>485</v>
      </c>
      <c r="E208" s="5" t="s">
        <v>43</v>
      </c>
      <c r="F208" s="5" t="s">
        <v>28</v>
      </c>
      <c r="G208" s="5" t="n">
        <f aca="false">LEN(TRIM(D208))-LEN(SUBSTITUTE(TRIM(D208)," ",""))+1</f>
        <v>76</v>
      </c>
      <c r="H208" s="5" t="str">
        <f aca="false">IF(G208&lt;40,"short",IF(G208&lt;100,"medium",IF(G208&lt;=200,"long","very long")))</f>
        <v>medium</v>
      </c>
      <c r="I208" s="5" t="s">
        <v>29</v>
      </c>
      <c r="J208" s="5" t="n">
        <v>3</v>
      </c>
    </row>
    <row r="209" customFormat="false" ht="15" hidden="false" customHeight="false" outlineLevel="0" collapsed="false">
      <c r="A209" s="5" t="s">
        <v>486</v>
      </c>
      <c r="B209" s="5" t="s">
        <v>24</v>
      </c>
      <c r="C209" s="5" t="s">
        <v>25</v>
      </c>
      <c r="D209" s="5" t="s">
        <v>487</v>
      </c>
      <c r="E209" s="5" t="s">
        <v>54</v>
      </c>
      <c r="F209" s="5" t="s">
        <v>28</v>
      </c>
      <c r="G209" s="5" t="n">
        <f aca="false">LEN(TRIM(D209))-LEN(SUBSTITUTE(TRIM(D209)," ",""))+1</f>
        <v>21</v>
      </c>
      <c r="H209" s="5" t="str">
        <f aca="false">IF(G209&lt;40,"short",IF(G209&lt;100,"medium",IF(G209&lt;=200,"long","very long")))</f>
        <v>short</v>
      </c>
      <c r="I209" s="5" t="s">
        <v>29</v>
      </c>
      <c r="J209" s="5" t="n">
        <v>3</v>
      </c>
    </row>
    <row r="210" customFormat="false" ht="57.45" hidden="false" customHeight="false" outlineLevel="0" collapsed="false">
      <c r="A210" s="5" t="s">
        <v>488</v>
      </c>
      <c r="B210" s="5" t="s">
        <v>24</v>
      </c>
      <c r="C210" s="5" t="s">
        <v>25</v>
      </c>
      <c r="D210" s="5" t="s">
        <v>489</v>
      </c>
      <c r="E210" s="5" t="s">
        <v>67</v>
      </c>
      <c r="F210" s="5" t="s">
        <v>28</v>
      </c>
      <c r="G210" s="5" t="n">
        <f aca="false">LEN(TRIM(D210))-LEN(SUBSTITUTE(TRIM(D210)," ",""))+1</f>
        <v>83</v>
      </c>
      <c r="H210" s="5" t="str">
        <f aca="false">IF(G210&lt;40,"short",IF(G210&lt;100,"medium",IF(G210&lt;=200,"long","very long")))</f>
        <v>medium</v>
      </c>
      <c r="I210" s="5" t="s">
        <v>29</v>
      </c>
      <c r="J210" s="5" t="n">
        <v>3</v>
      </c>
    </row>
    <row r="211" customFormat="false" ht="23.85" hidden="false" customHeight="false" outlineLevel="0" collapsed="false">
      <c r="A211" s="5" t="s">
        <v>490</v>
      </c>
      <c r="B211" s="5" t="s">
        <v>24</v>
      </c>
      <c r="C211" s="5" t="s">
        <v>25</v>
      </c>
      <c r="D211" s="5" t="s">
        <v>491</v>
      </c>
      <c r="E211" s="5" t="s">
        <v>35</v>
      </c>
      <c r="F211" s="5" t="s">
        <v>28</v>
      </c>
      <c r="G211" s="5" t="n">
        <f aca="false">LEN(TRIM(D211))-LEN(SUBSTITUTE(TRIM(D211)," ",""))+1</f>
        <v>27</v>
      </c>
      <c r="H211" s="5" t="str">
        <f aca="false">IF(G211&lt;40,"short",IF(G211&lt;100,"medium",IF(G211&lt;=200,"long","very long")))</f>
        <v>short</v>
      </c>
      <c r="I211" s="5" t="s">
        <v>29</v>
      </c>
      <c r="J211" s="5" t="n">
        <v>3</v>
      </c>
    </row>
    <row r="212" customFormat="false" ht="68.65" hidden="false" customHeight="false" outlineLevel="0" collapsed="false">
      <c r="A212" s="5" t="s">
        <v>492</v>
      </c>
      <c r="B212" s="5" t="s">
        <v>24</v>
      </c>
      <c r="C212" s="5" t="s">
        <v>25</v>
      </c>
      <c r="D212" s="5" t="s">
        <v>493</v>
      </c>
      <c r="E212" s="5" t="s">
        <v>49</v>
      </c>
      <c r="F212" s="5" t="s">
        <v>28</v>
      </c>
      <c r="G212" s="5" t="n">
        <f aca="false">LEN(TRIM(D212))-LEN(SUBSTITUTE(TRIM(D212)," ",""))+1</f>
        <v>107</v>
      </c>
      <c r="H212" s="5" t="str">
        <f aca="false">IF(G212&lt;40,"short",IF(G212&lt;100,"medium",IF(G212&lt;=200,"long","very long")))</f>
        <v>long</v>
      </c>
      <c r="I212" s="5" t="s">
        <v>29</v>
      </c>
      <c r="J212" s="5" t="n">
        <v>3</v>
      </c>
    </row>
    <row r="213" customFormat="false" ht="15" hidden="false" customHeight="false" outlineLevel="0" collapsed="false">
      <c r="A213" s="5" t="s">
        <v>494</v>
      </c>
      <c r="B213" s="5" t="s">
        <v>24</v>
      </c>
      <c r="C213" s="5" t="s">
        <v>25</v>
      </c>
      <c r="D213" s="5" t="s">
        <v>495</v>
      </c>
      <c r="E213" s="5" t="s">
        <v>32</v>
      </c>
      <c r="F213" s="5" t="s">
        <v>28</v>
      </c>
      <c r="G213" s="5" t="n">
        <f aca="false">LEN(TRIM(D213))-LEN(SUBSTITUTE(TRIM(D213)," ",""))+1</f>
        <v>22</v>
      </c>
      <c r="H213" s="5" t="str">
        <f aca="false">IF(G213&lt;40,"short",IF(G213&lt;100,"medium",IF(G213&lt;=200,"long","very long")))</f>
        <v>short</v>
      </c>
      <c r="I213" s="5" t="s">
        <v>29</v>
      </c>
      <c r="J213" s="5" t="n">
        <v>3</v>
      </c>
    </row>
    <row r="214" customFormat="false" ht="57.45" hidden="false" customHeight="false" outlineLevel="0" collapsed="false">
      <c r="A214" s="5" t="s">
        <v>496</v>
      </c>
      <c r="B214" s="5" t="s">
        <v>24</v>
      </c>
      <c r="C214" s="5" t="s">
        <v>25</v>
      </c>
      <c r="D214" s="5" t="s">
        <v>497</v>
      </c>
      <c r="E214" s="5" t="s">
        <v>46</v>
      </c>
      <c r="F214" s="5" t="s">
        <v>28</v>
      </c>
      <c r="G214" s="5" t="n">
        <f aca="false">LEN(TRIM(D214))-LEN(SUBSTITUTE(TRIM(D214)," ",""))+1</f>
        <v>103</v>
      </c>
      <c r="H214" s="5" t="str">
        <f aca="false">IF(G214&lt;40,"short",IF(G214&lt;100,"medium",IF(G214&lt;=200,"long","very long")))</f>
        <v>long</v>
      </c>
      <c r="I214" s="5" t="s">
        <v>29</v>
      </c>
      <c r="J214" s="5" t="n">
        <v>3</v>
      </c>
    </row>
    <row r="215" customFormat="false" ht="46.25" hidden="false" customHeight="false" outlineLevel="0" collapsed="false">
      <c r="A215" s="5" t="s">
        <v>498</v>
      </c>
      <c r="B215" s="5" t="s">
        <v>24</v>
      </c>
      <c r="C215" s="5" t="s">
        <v>25</v>
      </c>
      <c r="D215" s="5" t="s">
        <v>499</v>
      </c>
      <c r="E215" s="5" t="s">
        <v>27</v>
      </c>
      <c r="F215" s="5" t="s">
        <v>28</v>
      </c>
      <c r="G215" s="5" t="n">
        <f aca="false">LEN(TRIM(D215))-LEN(SUBSTITUTE(TRIM(D215)," ",""))+1</f>
        <v>82</v>
      </c>
      <c r="H215" s="5" t="str">
        <f aca="false">IF(G215&lt;40,"short",IF(G215&lt;100,"medium",IF(G215&lt;=200,"long","very long")))</f>
        <v>medium</v>
      </c>
      <c r="I215" s="5" t="s">
        <v>29</v>
      </c>
      <c r="J215" s="5" t="n">
        <v>3</v>
      </c>
    </row>
    <row r="216" customFormat="false" ht="23.85" hidden="false" customHeight="false" outlineLevel="0" collapsed="false">
      <c r="A216" s="5" t="s">
        <v>500</v>
      </c>
      <c r="B216" s="5" t="s">
        <v>24</v>
      </c>
      <c r="C216" s="5" t="s">
        <v>25</v>
      </c>
      <c r="D216" s="5" t="s">
        <v>501</v>
      </c>
      <c r="E216" s="5" t="s">
        <v>43</v>
      </c>
      <c r="F216" s="5" t="s">
        <v>28</v>
      </c>
      <c r="G216" s="5" t="n">
        <f aca="false">LEN(TRIM(D216))-LEN(SUBSTITUTE(TRIM(D216)," ",""))+1</f>
        <v>22</v>
      </c>
      <c r="H216" s="5" t="str">
        <f aca="false">IF(G216&lt;40,"short",IF(G216&lt;100,"medium",IF(G216&lt;=200,"long","very long")))</f>
        <v>short</v>
      </c>
      <c r="I216" s="5" t="s">
        <v>29</v>
      </c>
      <c r="J216" s="5" t="n">
        <v>3</v>
      </c>
    </row>
    <row r="217" customFormat="false" ht="23.85" hidden="false" customHeight="false" outlineLevel="0" collapsed="false">
      <c r="A217" s="5" t="s">
        <v>502</v>
      </c>
      <c r="B217" s="5" t="s">
        <v>24</v>
      </c>
      <c r="C217" s="5" t="s">
        <v>25</v>
      </c>
      <c r="D217" s="5" t="s">
        <v>503</v>
      </c>
      <c r="E217" s="5" t="s">
        <v>80</v>
      </c>
      <c r="F217" s="5" t="s">
        <v>28</v>
      </c>
      <c r="G217" s="5" t="n">
        <f aca="false">LEN(TRIM(D217))-LEN(SUBSTITUTE(TRIM(D217)," ",""))+1</f>
        <v>34</v>
      </c>
      <c r="H217" s="5" t="str">
        <f aca="false">IF(G217&lt;40,"short",IF(G217&lt;100,"medium",IF(G217&lt;=200,"long","very long")))</f>
        <v>short</v>
      </c>
      <c r="I217" s="5" t="s">
        <v>29</v>
      </c>
      <c r="J217" s="5" t="n">
        <v>3</v>
      </c>
    </row>
    <row r="218" customFormat="false" ht="15" hidden="false" customHeight="false" outlineLevel="0" collapsed="false">
      <c r="A218" s="5" t="s">
        <v>504</v>
      </c>
      <c r="B218" s="5" t="s">
        <v>24</v>
      </c>
      <c r="C218" s="5" t="s">
        <v>25</v>
      </c>
      <c r="D218" s="5" t="s">
        <v>505</v>
      </c>
      <c r="E218" s="5" t="s">
        <v>67</v>
      </c>
      <c r="F218" s="5" t="s">
        <v>28</v>
      </c>
      <c r="G218" s="5" t="n">
        <f aca="false">LEN(TRIM(D218))-LEN(SUBSTITUTE(TRIM(D218)," ",""))+1</f>
        <v>20</v>
      </c>
      <c r="H218" s="5" t="str">
        <f aca="false">IF(G218&lt;40,"short",IF(G218&lt;100,"medium",IF(G218&lt;=200,"long","very long")))</f>
        <v>short</v>
      </c>
      <c r="I218" s="5" t="s">
        <v>29</v>
      </c>
      <c r="J218" s="5" t="n">
        <v>3</v>
      </c>
    </row>
    <row r="219" customFormat="false" ht="46.25" hidden="false" customHeight="false" outlineLevel="0" collapsed="false">
      <c r="A219" s="5" t="s">
        <v>506</v>
      </c>
      <c r="B219" s="5" t="s">
        <v>24</v>
      </c>
      <c r="C219" s="5" t="s">
        <v>25</v>
      </c>
      <c r="D219" s="5" t="s">
        <v>507</v>
      </c>
      <c r="E219" s="5" t="s">
        <v>35</v>
      </c>
      <c r="F219" s="5" t="s">
        <v>28</v>
      </c>
      <c r="G219" s="5" t="n">
        <f aca="false">LEN(TRIM(D219))-LEN(SUBSTITUTE(TRIM(D219)," ",""))+1</f>
        <v>86</v>
      </c>
      <c r="H219" s="5" t="str">
        <f aca="false">IF(G219&lt;40,"short",IF(G219&lt;100,"medium",IF(G219&lt;=200,"long","very long")))</f>
        <v>medium</v>
      </c>
      <c r="I219" s="5" t="s">
        <v>29</v>
      </c>
      <c r="J219" s="5" t="n">
        <v>3</v>
      </c>
    </row>
    <row r="220" customFormat="false" ht="15" hidden="false" customHeight="false" outlineLevel="0" collapsed="false">
      <c r="A220" s="5" t="s">
        <v>508</v>
      </c>
      <c r="B220" s="5" t="s">
        <v>24</v>
      </c>
      <c r="C220" s="5" t="s">
        <v>25</v>
      </c>
      <c r="D220" s="5" t="s">
        <v>509</v>
      </c>
      <c r="E220" s="5" t="s">
        <v>27</v>
      </c>
      <c r="F220" s="5" t="s">
        <v>28</v>
      </c>
      <c r="G220" s="5" t="n">
        <f aca="false">LEN(TRIM(D220))-LEN(SUBSTITUTE(TRIM(D220)," ",""))+1</f>
        <v>20</v>
      </c>
      <c r="H220" s="5" t="str">
        <f aca="false">IF(G220&lt;40,"short",IF(G220&lt;100,"medium",IF(G220&lt;=200,"long","very long")))</f>
        <v>short</v>
      </c>
      <c r="I220" s="5" t="s">
        <v>29</v>
      </c>
      <c r="J220" s="5" t="n">
        <v>3</v>
      </c>
    </row>
    <row r="221" customFormat="false" ht="23.85" hidden="false" customHeight="false" outlineLevel="0" collapsed="false">
      <c r="A221" s="5" t="s">
        <v>510</v>
      </c>
      <c r="B221" s="5" t="s">
        <v>24</v>
      </c>
      <c r="C221" s="5" t="s">
        <v>25</v>
      </c>
      <c r="D221" s="5" t="s">
        <v>511</v>
      </c>
      <c r="E221" s="5" t="s">
        <v>43</v>
      </c>
      <c r="F221" s="5" t="s">
        <v>28</v>
      </c>
      <c r="G221" s="5" t="n">
        <f aca="false">LEN(TRIM(D221))-LEN(SUBSTITUTE(TRIM(D221)," ",""))+1</f>
        <v>38</v>
      </c>
      <c r="H221" s="5" t="str">
        <f aca="false">IF(G221&lt;40,"short",IF(G221&lt;100,"medium",IF(G221&lt;=200,"long","very long")))</f>
        <v>short</v>
      </c>
      <c r="I221" s="5" t="s">
        <v>29</v>
      </c>
      <c r="J221" s="5" t="n">
        <v>3</v>
      </c>
    </row>
    <row r="222" customFormat="false" ht="15" hidden="false" customHeight="false" outlineLevel="0" collapsed="false">
      <c r="A222" s="5" t="s">
        <v>512</v>
      </c>
      <c r="B222" s="5" t="s">
        <v>24</v>
      </c>
      <c r="C222" s="5" t="s">
        <v>25</v>
      </c>
      <c r="D222" s="5" t="s">
        <v>513</v>
      </c>
      <c r="E222" s="5" t="s">
        <v>38</v>
      </c>
      <c r="F222" s="5" t="s">
        <v>28</v>
      </c>
      <c r="G222" s="5" t="n">
        <f aca="false">LEN(TRIM(D222))-LEN(SUBSTITUTE(TRIM(D222)," ",""))+1</f>
        <v>20</v>
      </c>
      <c r="H222" s="5" t="str">
        <f aca="false">IF(G222&lt;40,"short",IF(G222&lt;100,"medium",IF(G222&lt;=200,"long","very long")))</f>
        <v>short</v>
      </c>
      <c r="I222" s="5" t="s">
        <v>29</v>
      </c>
      <c r="J222" s="5" t="n">
        <v>3</v>
      </c>
    </row>
    <row r="223" customFormat="false" ht="23.85" hidden="false" customHeight="false" outlineLevel="0" collapsed="false">
      <c r="A223" s="5" t="s">
        <v>514</v>
      </c>
      <c r="B223" s="5" t="s">
        <v>24</v>
      </c>
      <c r="C223" s="5" t="s">
        <v>25</v>
      </c>
      <c r="D223" s="5" t="s">
        <v>515</v>
      </c>
      <c r="E223" s="5" t="s">
        <v>32</v>
      </c>
      <c r="F223" s="5" t="s">
        <v>28</v>
      </c>
      <c r="G223" s="5" t="n">
        <f aca="false">LEN(TRIM(D223))-LEN(SUBSTITUTE(TRIM(D223)," ",""))+1</f>
        <v>37</v>
      </c>
      <c r="H223" s="5" t="str">
        <f aca="false">IF(G223&lt;40,"short",IF(G223&lt;100,"medium",IF(G223&lt;=200,"long","very long")))</f>
        <v>short</v>
      </c>
      <c r="I223" s="5" t="s">
        <v>29</v>
      </c>
      <c r="J223" s="5" t="n">
        <v>3</v>
      </c>
    </row>
    <row r="224" customFormat="false" ht="23.85" hidden="false" customHeight="false" outlineLevel="0" collapsed="false">
      <c r="A224" s="5" t="s">
        <v>516</v>
      </c>
      <c r="B224" s="5" t="s">
        <v>24</v>
      </c>
      <c r="C224" s="5" t="s">
        <v>25</v>
      </c>
      <c r="D224" s="5" t="s">
        <v>517</v>
      </c>
      <c r="E224" s="5" t="s">
        <v>46</v>
      </c>
      <c r="F224" s="5" t="s">
        <v>28</v>
      </c>
      <c r="G224" s="5" t="n">
        <f aca="false">LEN(TRIM(D224))-LEN(SUBSTITUTE(TRIM(D224)," ",""))+1</f>
        <v>27</v>
      </c>
      <c r="H224" s="5" t="str">
        <f aca="false">IF(G224&lt;40,"short",IF(G224&lt;100,"medium",IF(G224&lt;=200,"long","very long")))</f>
        <v>short</v>
      </c>
      <c r="I224" s="5" t="s">
        <v>29</v>
      </c>
      <c r="J224" s="5" t="n">
        <v>3</v>
      </c>
    </row>
    <row r="225" customFormat="false" ht="57.45" hidden="false" customHeight="false" outlineLevel="0" collapsed="false">
      <c r="A225" s="5" t="s">
        <v>518</v>
      </c>
      <c r="B225" s="5" t="s">
        <v>24</v>
      </c>
      <c r="C225" s="5" t="s">
        <v>25</v>
      </c>
      <c r="D225" s="5" t="s">
        <v>519</v>
      </c>
      <c r="E225" s="5" t="s">
        <v>80</v>
      </c>
      <c r="F225" s="5" t="s">
        <v>28</v>
      </c>
      <c r="G225" s="5" t="n">
        <f aca="false">LEN(TRIM(D225))-LEN(SUBSTITUTE(TRIM(D225)," ",""))+1</f>
        <v>102</v>
      </c>
      <c r="H225" s="5" t="str">
        <f aca="false">IF(G225&lt;40,"short",IF(G225&lt;100,"medium",IF(G225&lt;=200,"long","very long")))</f>
        <v>long</v>
      </c>
      <c r="I225" s="5" t="s">
        <v>29</v>
      </c>
      <c r="J225" s="5" t="n">
        <v>3</v>
      </c>
    </row>
    <row r="226" customFormat="false" ht="46.25" hidden="false" customHeight="false" outlineLevel="0" collapsed="false">
      <c r="A226" s="5" t="s">
        <v>520</v>
      </c>
      <c r="B226" s="5" t="s">
        <v>24</v>
      </c>
      <c r="C226" s="5" t="s">
        <v>25</v>
      </c>
      <c r="D226" s="5" t="s">
        <v>521</v>
      </c>
      <c r="E226" s="5" t="s">
        <v>38</v>
      </c>
      <c r="F226" s="5" t="s">
        <v>28</v>
      </c>
      <c r="G226" s="5" t="n">
        <f aca="false">LEN(TRIM(D226))-LEN(SUBSTITUTE(TRIM(D226)," ",""))+1</f>
        <v>79</v>
      </c>
      <c r="H226" s="5" t="str">
        <f aca="false">IF(G226&lt;40,"short",IF(G226&lt;100,"medium",IF(G226&lt;=200,"long","very long")))</f>
        <v>medium</v>
      </c>
      <c r="I226" s="5" t="s">
        <v>29</v>
      </c>
      <c r="J226" s="5" t="n">
        <v>3</v>
      </c>
    </row>
    <row r="227" customFormat="false" ht="15" hidden="false" customHeight="false" outlineLevel="0" collapsed="false">
      <c r="A227" s="5" t="s">
        <v>522</v>
      </c>
      <c r="B227" s="5" t="s">
        <v>24</v>
      </c>
      <c r="C227" s="5" t="s">
        <v>25</v>
      </c>
      <c r="D227" s="5" t="s">
        <v>523</v>
      </c>
      <c r="E227" s="5" t="s">
        <v>49</v>
      </c>
      <c r="F227" s="5" t="s">
        <v>28</v>
      </c>
      <c r="G227" s="5" t="n">
        <f aca="false">LEN(TRIM(D227))-LEN(SUBSTITUTE(TRIM(D227)," ",""))+1</f>
        <v>22</v>
      </c>
      <c r="H227" s="5" t="str">
        <f aca="false">IF(G227&lt;40,"short",IF(G227&lt;100,"medium",IF(G227&lt;=200,"long","very long")))</f>
        <v>short</v>
      </c>
      <c r="I227" s="5" t="s">
        <v>29</v>
      </c>
      <c r="J227" s="5" t="n">
        <v>3</v>
      </c>
    </row>
    <row r="228" customFormat="false" ht="46.25" hidden="false" customHeight="false" outlineLevel="0" collapsed="false">
      <c r="A228" s="5" t="s">
        <v>524</v>
      </c>
      <c r="B228" s="5" t="s">
        <v>24</v>
      </c>
      <c r="C228" s="5" t="s">
        <v>25</v>
      </c>
      <c r="D228" s="5" t="s">
        <v>525</v>
      </c>
      <c r="E228" s="5" t="s">
        <v>67</v>
      </c>
      <c r="F228" s="5" t="s">
        <v>28</v>
      </c>
      <c r="G228" s="5" t="n">
        <f aca="false">LEN(TRIM(D228))-LEN(SUBSTITUTE(TRIM(D228)," ",""))+1</f>
        <v>86</v>
      </c>
      <c r="H228" s="5" t="str">
        <f aca="false">IF(G228&lt;40,"short",IF(G228&lt;100,"medium",IF(G228&lt;=200,"long","very long")))</f>
        <v>medium</v>
      </c>
      <c r="I228" s="5" t="s">
        <v>29</v>
      </c>
      <c r="J228" s="5" t="n">
        <v>3</v>
      </c>
    </row>
    <row r="229" customFormat="false" ht="15" hidden="false" customHeight="false" outlineLevel="0" collapsed="false">
      <c r="A229" s="5" t="s">
        <v>526</v>
      </c>
      <c r="B229" s="5" t="s">
        <v>24</v>
      </c>
      <c r="C229" s="5" t="s">
        <v>25</v>
      </c>
      <c r="D229" s="5" t="s">
        <v>527</v>
      </c>
      <c r="E229" s="5" t="s">
        <v>46</v>
      </c>
      <c r="F229" s="5" t="s">
        <v>28</v>
      </c>
      <c r="G229" s="5" t="n">
        <f aca="false">LEN(TRIM(D229))-LEN(SUBSTITUTE(TRIM(D229)," ",""))+1</f>
        <v>19</v>
      </c>
      <c r="H229" s="5" t="str">
        <f aca="false">IF(G229&lt;40,"short",IF(G229&lt;100,"medium",IF(G229&lt;=200,"long","very long")))</f>
        <v>short</v>
      </c>
      <c r="I229" s="5" t="s">
        <v>29</v>
      </c>
      <c r="J229" s="5" t="n">
        <v>3</v>
      </c>
    </row>
    <row r="230" customFormat="false" ht="57.45" hidden="false" customHeight="false" outlineLevel="0" collapsed="false">
      <c r="A230" s="5" t="s">
        <v>528</v>
      </c>
      <c r="B230" s="5" t="s">
        <v>24</v>
      </c>
      <c r="C230" s="5" t="s">
        <v>25</v>
      </c>
      <c r="D230" s="5" t="s">
        <v>529</v>
      </c>
      <c r="E230" s="5" t="s">
        <v>43</v>
      </c>
      <c r="F230" s="5" t="s">
        <v>28</v>
      </c>
      <c r="G230" s="5" t="n">
        <f aca="false">LEN(TRIM(D230))-LEN(SUBSTITUTE(TRIM(D230)," ",""))+1</f>
        <v>83</v>
      </c>
      <c r="H230" s="5" t="str">
        <f aca="false">IF(G230&lt;40,"short",IF(G230&lt;100,"medium",IF(G230&lt;=200,"long","very long")))</f>
        <v>medium</v>
      </c>
      <c r="I230" s="5" t="s">
        <v>29</v>
      </c>
      <c r="J230" s="5" t="n">
        <v>3</v>
      </c>
    </row>
    <row r="231" customFormat="false" ht="23.85" hidden="false" customHeight="false" outlineLevel="0" collapsed="false">
      <c r="A231" s="5" t="s">
        <v>530</v>
      </c>
      <c r="B231" s="5" t="s">
        <v>24</v>
      </c>
      <c r="C231" s="5" t="s">
        <v>25</v>
      </c>
      <c r="D231" s="5" t="s">
        <v>531</v>
      </c>
      <c r="E231" s="5" t="s">
        <v>27</v>
      </c>
      <c r="F231" s="5" t="s">
        <v>28</v>
      </c>
      <c r="G231" s="5" t="n">
        <f aca="false">LEN(TRIM(D231))-LEN(SUBSTITUTE(TRIM(D231)," ",""))+1</f>
        <v>26</v>
      </c>
      <c r="H231" s="5" t="str">
        <f aca="false">IF(G231&lt;40,"short",IF(G231&lt;100,"medium",IF(G231&lt;=200,"long","very long")))</f>
        <v>short</v>
      </c>
      <c r="I231" s="5" t="s">
        <v>29</v>
      </c>
      <c r="J231" s="5" t="n">
        <v>3</v>
      </c>
    </row>
    <row r="232" customFormat="false" ht="57.45" hidden="false" customHeight="false" outlineLevel="0" collapsed="false">
      <c r="A232" s="5" t="s">
        <v>532</v>
      </c>
      <c r="B232" s="5" t="s">
        <v>24</v>
      </c>
      <c r="C232" s="5" t="s">
        <v>25</v>
      </c>
      <c r="D232" s="5" t="s">
        <v>533</v>
      </c>
      <c r="E232" s="5" t="s">
        <v>80</v>
      </c>
      <c r="F232" s="5" t="s">
        <v>28</v>
      </c>
      <c r="G232" s="5" t="n">
        <f aca="false">LEN(TRIM(D232))-LEN(SUBSTITUTE(TRIM(D232)," ",""))+1</f>
        <v>113</v>
      </c>
      <c r="H232" s="5" t="str">
        <f aca="false">IF(G232&lt;40,"short",IF(G232&lt;100,"medium",IF(G232&lt;=200,"long","very long")))</f>
        <v>long</v>
      </c>
      <c r="I232" s="5" t="s">
        <v>29</v>
      </c>
      <c r="J232" s="5" t="n">
        <v>3</v>
      </c>
    </row>
    <row r="233" customFormat="false" ht="15" hidden="false" customHeight="false" outlineLevel="0" collapsed="false">
      <c r="A233" s="5" t="s">
        <v>534</v>
      </c>
      <c r="B233" s="5" t="s">
        <v>24</v>
      </c>
      <c r="C233" s="5" t="s">
        <v>25</v>
      </c>
      <c r="D233" s="5" t="s">
        <v>535</v>
      </c>
      <c r="E233" s="5" t="s">
        <v>67</v>
      </c>
      <c r="F233" s="5" t="s">
        <v>28</v>
      </c>
      <c r="G233" s="5" t="n">
        <f aca="false">LEN(TRIM(D233))-LEN(SUBSTITUTE(TRIM(D233)," ",""))+1</f>
        <v>16</v>
      </c>
      <c r="H233" s="5" t="str">
        <f aca="false">IF(G233&lt;40,"short",IF(G233&lt;100,"medium",IF(G233&lt;=200,"long","very long")))</f>
        <v>short</v>
      </c>
      <c r="I233" s="5" t="s">
        <v>29</v>
      </c>
      <c r="J233" s="5" t="n">
        <v>3</v>
      </c>
    </row>
    <row r="234" customFormat="false" ht="57.45" hidden="false" customHeight="false" outlineLevel="0" collapsed="false">
      <c r="A234" s="5" t="s">
        <v>536</v>
      </c>
      <c r="B234" s="5" t="s">
        <v>24</v>
      </c>
      <c r="C234" s="5" t="s">
        <v>25</v>
      </c>
      <c r="D234" s="5" t="s">
        <v>537</v>
      </c>
      <c r="E234" s="5" t="s">
        <v>35</v>
      </c>
      <c r="F234" s="5" t="s">
        <v>28</v>
      </c>
      <c r="G234" s="5" t="n">
        <f aca="false">LEN(TRIM(D234))-LEN(SUBSTITUTE(TRIM(D234)," ",""))+1</f>
        <v>86</v>
      </c>
      <c r="H234" s="5" t="str">
        <f aca="false">IF(G234&lt;40,"short",IF(G234&lt;100,"medium",IF(G234&lt;=200,"long","very long")))</f>
        <v>medium</v>
      </c>
      <c r="I234" s="5" t="s">
        <v>29</v>
      </c>
      <c r="J234" s="5" t="n">
        <v>3</v>
      </c>
    </row>
    <row r="235" customFormat="false" ht="57.45" hidden="false" customHeight="false" outlineLevel="0" collapsed="false">
      <c r="A235" s="5" t="s">
        <v>538</v>
      </c>
      <c r="B235" s="5" t="s">
        <v>24</v>
      </c>
      <c r="C235" s="5" t="s">
        <v>25</v>
      </c>
      <c r="D235" s="5" t="s">
        <v>539</v>
      </c>
      <c r="E235" s="5" t="s">
        <v>27</v>
      </c>
      <c r="F235" s="5" t="s">
        <v>28</v>
      </c>
      <c r="G235" s="5" t="n">
        <f aca="false">LEN(TRIM(D235))-LEN(SUBSTITUTE(TRIM(D235)," ",""))+1</f>
        <v>92</v>
      </c>
      <c r="H235" s="5" t="str">
        <f aca="false">IF(G235&lt;40,"short",IF(G235&lt;100,"medium",IF(G235&lt;=200,"long","very long")))</f>
        <v>medium</v>
      </c>
      <c r="I235" s="5" t="s">
        <v>29</v>
      </c>
      <c r="J235" s="5" t="n">
        <v>3</v>
      </c>
    </row>
    <row r="236" customFormat="false" ht="23.85" hidden="false" customHeight="false" outlineLevel="0" collapsed="false">
      <c r="A236" s="5" t="s">
        <v>540</v>
      </c>
      <c r="B236" s="5" t="s">
        <v>24</v>
      </c>
      <c r="C236" s="5" t="s">
        <v>25</v>
      </c>
      <c r="D236" s="5" t="s">
        <v>541</v>
      </c>
      <c r="E236" s="5" t="s">
        <v>32</v>
      </c>
      <c r="F236" s="5" t="s">
        <v>28</v>
      </c>
      <c r="G236" s="5" t="n">
        <f aca="false">LEN(TRIM(D236))-LEN(SUBSTITUTE(TRIM(D236)," ",""))+1</f>
        <v>22</v>
      </c>
      <c r="H236" s="5" t="str">
        <f aca="false">IF(G236&lt;40,"short",IF(G236&lt;100,"medium",IF(G236&lt;=200,"long","very long")))</f>
        <v>short</v>
      </c>
      <c r="I236" s="5" t="s">
        <v>29</v>
      </c>
      <c r="J236" s="5" t="n">
        <v>3</v>
      </c>
    </row>
    <row r="237" customFormat="false" ht="23.85" hidden="false" customHeight="false" outlineLevel="0" collapsed="false">
      <c r="A237" s="5" t="s">
        <v>542</v>
      </c>
      <c r="B237" s="5" t="s">
        <v>24</v>
      </c>
      <c r="C237" s="5" t="s">
        <v>25</v>
      </c>
      <c r="D237" s="5" t="s">
        <v>543</v>
      </c>
      <c r="E237" s="5" t="s">
        <v>54</v>
      </c>
      <c r="F237" s="5" t="s">
        <v>28</v>
      </c>
      <c r="G237" s="5" t="n">
        <f aca="false">LEN(TRIM(D237))-LEN(SUBSTITUTE(TRIM(D237)," ",""))+1</f>
        <v>25</v>
      </c>
      <c r="H237" s="5" t="str">
        <f aca="false">IF(G237&lt;40,"short",IF(G237&lt;100,"medium",IF(G237&lt;=200,"long","very long")))</f>
        <v>short</v>
      </c>
      <c r="I237" s="5" t="s">
        <v>29</v>
      </c>
      <c r="J237" s="5" t="n">
        <v>3</v>
      </c>
    </row>
    <row r="238" customFormat="false" ht="57.45" hidden="false" customHeight="false" outlineLevel="0" collapsed="false">
      <c r="A238" s="5" t="s">
        <v>544</v>
      </c>
      <c r="B238" s="5" t="s">
        <v>24</v>
      </c>
      <c r="C238" s="5" t="s">
        <v>25</v>
      </c>
      <c r="D238" s="5" t="s">
        <v>545</v>
      </c>
      <c r="E238" s="5" t="s">
        <v>43</v>
      </c>
      <c r="F238" s="5" t="s">
        <v>28</v>
      </c>
      <c r="G238" s="5" t="n">
        <f aca="false">LEN(TRIM(D238))-LEN(SUBSTITUTE(TRIM(D238)," ",""))+1</f>
        <v>106</v>
      </c>
      <c r="H238" s="5" t="str">
        <f aca="false">IF(G238&lt;40,"short",IF(G238&lt;100,"medium",IF(G238&lt;=200,"long","very long")))</f>
        <v>long</v>
      </c>
      <c r="I238" s="5" t="s">
        <v>29</v>
      </c>
      <c r="J238" s="5" t="n">
        <v>3</v>
      </c>
    </row>
    <row r="239" customFormat="false" ht="46.25" hidden="false" customHeight="false" outlineLevel="0" collapsed="false">
      <c r="A239" s="5" t="s">
        <v>546</v>
      </c>
      <c r="B239" s="5" t="s">
        <v>24</v>
      </c>
      <c r="C239" s="5" t="s">
        <v>25</v>
      </c>
      <c r="D239" s="5" t="s">
        <v>547</v>
      </c>
      <c r="E239" s="5" t="s">
        <v>46</v>
      </c>
      <c r="F239" s="5" t="s">
        <v>28</v>
      </c>
      <c r="G239" s="5" t="n">
        <f aca="false">LEN(TRIM(D239))-LEN(SUBSTITUTE(TRIM(D239)," ",""))+1</f>
        <v>87</v>
      </c>
      <c r="H239" s="5" t="str">
        <f aca="false">IF(G239&lt;40,"short",IF(G239&lt;100,"medium",IF(G239&lt;=200,"long","very long")))</f>
        <v>medium</v>
      </c>
      <c r="I239" s="5" t="s">
        <v>29</v>
      </c>
      <c r="J239" s="5" t="n">
        <v>3</v>
      </c>
    </row>
    <row r="240" customFormat="false" ht="23.85" hidden="false" customHeight="false" outlineLevel="0" collapsed="false">
      <c r="A240" s="5" t="s">
        <v>548</v>
      </c>
      <c r="B240" s="5" t="s">
        <v>24</v>
      </c>
      <c r="C240" s="5" t="s">
        <v>25</v>
      </c>
      <c r="D240" s="5" t="s">
        <v>549</v>
      </c>
      <c r="E240" s="5" t="s">
        <v>67</v>
      </c>
      <c r="F240" s="5" t="s">
        <v>28</v>
      </c>
      <c r="G240" s="5" t="n">
        <f aca="false">LEN(TRIM(D240))-LEN(SUBSTITUTE(TRIM(D240)," ",""))+1</f>
        <v>20</v>
      </c>
      <c r="H240" s="5" t="str">
        <f aca="false">IF(G240&lt;40,"short",IF(G240&lt;100,"medium",IF(G240&lt;=200,"long","very long")))</f>
        <v>short</v>
      </c>
      <c r="I240" s="5" t="s">
        <v>29</v>
      </c>
      <c r="J240" s="5" t="n">
        <v>3</v>
      </c>
    </row>
    <row r="241" customFormat="false" ht="23.85" hidden="false" customHeight="false" outlineLevel="0" collapsed="false">
      <c r="A241" s="5" t="s">
        <v>550</v>
      </c>
      <c r="B241" s="5" t="s">
        <v>24</v>
      </c>
      <c r="C241" s="5" t="s">
        <v>25</v>
      </c>
      <c r="D241" s="5" t="s">
        <v>551</v>
      </c>
      <c r="E241" s="5" t="s">
        <v>35</v>
      </c>
      <c r="F241" s="5" t="s">
        <v>28</v>
      </c>
      <c r="G241" s="5" t="n">
        <f aca="false">LEN(TRIM(D241))-LEN(SUBSTITUTE(TRIM(D241)," ",""))+1</f>
        <v>27</v>
      </c>
      <c r="H241" s="5" t="str">
        <f aca="false">IF(G241&lt;40,"short",IF(G241&lt;100,"medium",IF(G241&lt;=200,"long","very long")))</f>
        <v>short</v>
      </c>
      <c r="I241" s="5" t="s">
        <v>29</v>
      </c>
      <c r="J241" s="5" t="n">
        <v>3</v>
      </c>
    </row>
    <row r="242" customFormat="false" ht="23.85" hidden="false" customHeight="false" outlineLevel="0" collapsed="false">
      <c r="A242" s="5" t="s">
        <v>552</v>
      </c>
      <c r="B242" s="5" t="s">
        <v>24</v>
      </c>
      <c r="C242" s="5" t="s">
        <v>25</v>
      </c>
      <c r="D242" s="5" t="s">
        <v>553</v>
      </c>
      <c r="E242" s="5" t="s">
        <v>38</v>
      </c>
      <c r="F242" s="5" t="s">
        <v>89</v>
      </c>
      <c r="G242" s="5" t="n">
        <f aca="false">LEN(TRIM(D242))-LEN(SUBSTITUTE(TRIM(D242)," ",""))+1</f>
        <v>29</v>
      </c>
      <c r="H242" s="5" t="str">
        <f aca="false">IF(G242&lt;40,"short",IF(G242&lt;100,"medium",IF(G242&lt;=200,"long","very long")))</f>
        <v>short</v>
      </c>
      <c r="I242" s="5" t="s">
        <v>29</v>
      </c>
      <c r="J242" s="5" t="n">
        <v>3</v>
      </c>
    </row>
    <row r="243" customFormat="false" ht="23.85" hidden="false" customHeight="false" outlineLevel="0" collapsed="false">
      <c r="A243" s="5" t="s">
        <v>554</v>
      </c>
      <c r="B243" s="5" t="s">
        <v>24</v>
      </c>
      <c r="C243" s="5" t="s">
        <v>25</v>
      </c>
      <c r="D243" s="5" t="s">
        <v>555</v>
      </c>
      <c r="E243" s="5" t="s">
        <v>49</v>
      </c>
      <c r="F243" s="5" t="s">
        <v>89</v>
      </c>
      <c r="G243" s="5" t="n">
        <f aca="false">LEN(TRIM(D243))-LEN(SUBSTITUTE(TRIM(D243)," ",""))+1</f>
        <v>40</v>
      </c>
      <c r="H243" s="5" t="str">
        <f aca="false">IF(G243&lt;40,"short",IF(G243&lt;100,"medium",IF(G243&lt;=200,"long","very long")))</f>
        <v>medium</v>
      </c>
      <c r="I243" s="5" t="s">
        <v>29</v>
      </c>
      <c r="J243" s="5" t="n">
        <v>3</v>
      </c>
    </row>
    <row r="244" customFormat="false" ht="35.05" hidden="false" customHeight="false" outlineLevel="0" collapsed="false">
      <c r="A244" s="5" t="s">
        <v>556</v>
      </c>
      <c r="B244" s="5" t="s">
        <v>24</v>
      </c>
      <c r="C244" s="5" t="s">
        <v>25</v>
      </c>
      <c r="D244" s="5" t="s">
        <v>557</v>
      </c>
      <c r="E244" s="5" t="s">
        <v>54</v>
      </c>
      <c r="F244" s="5" t="s">
        <v>89</v>
      </c>
      <c r="G244" s="5" t="n">
        <f aca="false">LEN(TRIM(D244))-LEN(SUBSTITUTE(TRIM(D244)," ",""))+1</f>
        <v>44</v>
      </c>
      <c r="H244" s="5" t="str">
        <f aca="false">IF(G244&lt;40,"short",IF(G244&lt;100,"medium",IF(G244&lt;=200,"long","very long")))</f>
        <v>medium</v>
      </c>
      <c r="I244" s="5" t="s">
        <v>29</v>
      </c>
      <c r="J244" s="5" t="n">
        <v>3</v>
      </c>
    </row>
    <row r="245" customFormat="false" ht="23.85" hidden="false" customHeight="false" outlineLevel="0" collapsed="false">
      <c r="A245" s="5" t="s">
        <v>558</v>
      </c>
      <c r="B245" s="5" t="s">
        <v>24</v>
      </c>
      <c r="C245" s="5" t="s">
        <v>25</v>
      </c>
      <c r="D245" s="5" t="s">
        <v>559</v>
      </c>
      <c r="E245" s="5" t="s">
        <v>32</v>
      </c>
      <c r="F245" s="5" t="s">
        <v>89</v>
      </c>
      <c r="G245" s="5" t="n">
        <f aca="false">LEN(TRIM(D245))-LEN(SUBSTITUTE(TRIM(D245)," ",""))+1</f>
        <v>42</v>
      </c>
      <c r="H245" s="5" t="str">
        <f aca="false">IF(G245&lt;40,"short",IF(G245&lt;100,"medium",IF(G245&lt;=200,"long","very long")))</f>
        <v>medium</v>
      </c>
      <c r="I245" s="5" t="s">
        <v>29</v>
      </c>
      <c r="J245" s="5" t="n">
        <v>3</v>
      </c>
    </row>
    <row r="246" customFormat="false" ht="23.85" hidden="false" customHeight="false" outlineLevel="0" collapsed="false">
      <c r="A246" s="5" t="s">
        <v>560</v>
      </c>
      <c r="B246" s="5" t="s">
        <v>24</v>
      </c>
      <c r="C246" s="5" t="s">
        <v>25</v>
      </c>
      <c r="D246" s="5" t="s">
        <v>561</v>
      </c>
      <c r="E246" s="5" t="s">
        <v>35</v>
      </c>
      <c r="F246" s="5" t="s">
        <v>89</v>
      </c>
      <c r="G246" s="5" t="n">
        <f aca="false">LEN(TRIM(D246))-LEN(SUBSTITUTE(TRIM(D246)," ",""))+1</f>
        <v>42</v>
      </c>
      <c r="H246" s="5" t="str">
        <f aca="false">IF(G246&lt;40,"short",IF(G246&lt;100,"medium",IF(G246&lt;=200,"long","very long")))</f>
        <v>medium</v>
      </c>
      <c r="I246" s="5" t="s">
        <v>29</v>
      </c>
      <c r="J246" s="5" t="n">
        <v>3</v>
      </c>
    </row>
    <row r="247" customFormat="false" ht="23.85" hidden="false" customHeight="false" outlineLevel="0" collapsed="false">
      <c r="A247" s="5" t="s">
        <v>562</v>
      </c>
      <c r="B247" s="5" t="s">
        <v>24</v>
      </c>
      <c r="C247" s="5" t="s">
        <v>25</v>
      </c>
      <c r="D247" s="5" t="s">
        <v>563</v>
      </c>
      <c r="E247" s="5" t="s">
        <v>80</v>
      </c>
      <c r="F247" s="5" t="s">
        <v>89</v>
      </c>
      <c r="G247" s="5" t="n">
        <f aca="false">LEN(TRIM(D247))-LEN(SUBSTITUTE(TRIM(D247)," ",""))+1</f>
        <v>40</v>
      </c>
      <c r="H247" s="5" t="str">
        <f aca="false">IF(G247&lt;40,"short",IF(G247&lt;100,"medium",IF(G247&lt;=200,"long","very long")))</f>
        <v>medium</v>
      </c>
      <c r="I247" s="5" t="s">
        <v>29</v>
      </c>
      <c r="J247" s="5" t="n">
        <v>3</v>
      </c>
    </row>
    <row r="248" customFormat="false" ht="23.85" hidden="false" customHeight="false" outlineLevel="0" collapsed="false">
      <c r="A248" s="5" t="s">
        <v>564</v>
      </c>
      <c r="B248" s="5" t="s">
        <v>24</v>
      </c>
      <c r="C248" s="5" t="s">
        <v>25</v>
      </c>
      <c r="D248" s="5" t="s">
        <v>565</v>
      </c>
      <c r="E248" s="5" t="s">
        <v>46</v>
      </c>
      <c r="F248" s="5" t="s">
        <v>89</v>
      </c>
      <c r="G248" s="5" t="n">
        <f aca="false">LEN(TRIM(D248))-LEN(SUBSTITUTE(TRIM(D248)," ",""))+1</f>
        <v>40</v>
      </c>
      <c r="H248" s="5" t="str">
        <f aca="false">IF(G248&lt;40,"short",IF(G248&lt;100,"medium",IF(G248&lt;=200,"long","very long")))</f>
        <v>medium</v>
      </c>
      <c r="I248" s="5" t="s">
        <v>29</v>
      </c>
      <c r="J248" s="5" t="n">
        <v>3</v>
      </c>
    </row>
    <row r="249" customFormat="false" ht="15" hidden="false" customHeight="false" outlineLevel="0" collapsed="false">
      <c r="A249" s="5" t="s">
        <v>566</v>
      </c>
      <c r="B249" s="5" t="s">
        <v>24</v>
      </c>
      <c r="C249" s="5" t="s">
        <v>25</v>
      </c>
      <c r="D249" s="5" t="s">
        <v>567</v>
      </c>
      <c r="E249" s="5" t="s">
        <v>67</v>
      </c>
      <c r="F249" s="5" t="s">
        <v>89</v>
      </c>
      <c r="G249" s="5" t="n">
        <f aca="false">LEN(TRIM(D249))-LEN(SUBSTITUTE(TRIM(D249)," ",""))+1</f>
        <v>17</v>
      </c>
      <c r="H249" s="5" t="str">
        <f aca="false">IF(G249&lt;40,"short",IF(G249&lt;100,"medium",IF(G249&lt;=200,"long","very long")))</f>
        <v>short</v>
      </c>
      <c r="I249" s="5" t="s">
        <v>29</v>
      </c>
      <c r="J249" s="5" t="n">
        <v>3</v>
      </c>
    </row>
    <row r="250" customFormat="false" ht="35.05" hidden="false" customHeight="false" outlineLevel="0" collapsed="false">
      <c r="A250" s="5" t="s">
        <v>568</v>
      </c>
      <c r="B250" s="5" t="s">
        <v>24</v>
      </c>
      <c r="C250" s="5" t="s">
        <v>25</v>
      </c>
      <c r="D250" s="5" t="s">
        <v>569</v>
      </c>
      <c r="E250" s="5" t="s">
        <v>43</v>
      </c>
      <c r="F250" s="5" t="s">
        <v>89</v>
      </c>
      <c r="G250" s="5" t="n">
        <f aca="false">LEN(TRIM(D250))-LEN(SUBSTITUTE(TRIM(D250)," ",""))+1</f>
        <v>44</v>
      </c>
      <c r="H250" s="5" t="str">
        <f aca="false">IF(G250&lt;40,"short",IF(G250&lt;100,"medium",IF(G250&lt;=200,"long","very long")))</f>
        <v>medium</v>
      </c>
      <c r="I250" s="5" t="s">
        <v>29</v>
      </c>
      <c r="J250" s="5" t="n">
        <v>3</v>
      </c>
    </row>
    <row r="251" customFormat="false" ht="15" hidden="false" customHeight="false" outlineLevel="0" collapsed="false">
      <c r="A251" s="5" t="s">
        <v>570</v>
      </c>
      <c r="B251" s="5" t="s">
        <v>24</v>
      </c>
      <c r="C251" s="5" t="s">
        <v>25</v>
      </c>
      <c r="D251" s="5" t="s">
        <v>571</v>
      </c>
      <c r="E251" s="5" t="s">
        <v>27</v>
      </c>
      <c r="F251" s="5" t="s">
        <v>89</v>
      </c>
      <c r="G251" s="5" t="n">
        <f aca="false">LEN(TRIM(D251))-LEN(SUBSTITUTE(TRIM(D251)," ",""))+1</f>
        <v>14</v>
      </c>
      <c r="H251" s="5" t="str">
        <f aca="false">IF(G251&lt;40,"short",IF(G251&lt;100,"medium",IF(G251&lt;=200,"long","very long")))</f>
        <v>short</v>
      </c>
      <c r="I251" s="5" t="s">
        <v>29</v>
      </c>
      <c r="J251" s="5" t="n">
        <v>3</v>
      </c>
    </row>
    <row r="252" customFormat="false" ht="23.85" hidden="false" customHeight="false" outlineLevel="0" collapsed="false">
      <c r="A252" s="5" t="s">
        <v>572</v>
      </c>
      <c r="B252" s="5" t="s">
        <v>24</v>
      </c>
      <c r="C252" s="5" t="s">
        <v>25</v>
      </c>
      <c r="D252" s="5" t="s">
        <v>573</v>
      </c>
      <c r="E252" s="5" t="s">
        <v>49</v>
      </c>
      <c r="F252" s="5" t="s">
        <v>89</v>
      </c>
      <c r="G252" s="5" t="n">
        <f aca="false">LEN(TRIM(D252))-LEN(SUBSTITUTE(TRIM(D252)," ",""))+1</f>
        <v>38</v>
      </c>
      <c r="H252" s="5" t="str">
        <f aca="false">IF(G252&lt;40,"short",IF(G252&lt;100,"medium",IF(G252&lt;=200,"long","very long")))</f>
        <v>short</v>
      </c>
      <c r="I252" s="5" t="s">
        <v>29</v>
      </c>
      <c r="J252" s="5" t="n">
        <v>3</v>
      </c>
    </row>
    <row r="253" customFormat="false" ht="15" hidden="false" customHeight="false" outlineLevel="0" collapsed="false">
      <c r="A253" s="5" t="s">
        <v>574</v>
      </c>
      <c r="B253" s="5" t="s">
        <v>24</v>
      </c>
      <c r="C253" s="5" t="s">
        <v>25</v>
      </c>
      <c r="D253" s="5" t="s">
        <v>575</v>
      </c>
      <c r="E253" s="5" t="s">
        <v>80</v>
      </c>
      <c r="F253" s="5" t="s">
        <v>89</v>
      </c>
      <c r="G253" s="5" t="n">
        <f aca="false">LEN(TRIM(D253))-LEN(SUBSTITUTE(TRIM(D253)," ",""))+1</f>
        <v>17</v>
      </c>
      <c r="H253" s="5" t="str">
        <f aca="false">IF(G253&lt;40,"short",IF(G253&lt;100,"medium",IF(G253&lt;=200,"long","very long")))</f>
        <v>short</v>
      </c>
      <c r="I253" s="5" t="s">
        <v>29</v>
      </c>
      <c r="J253" s="5" t="n">
        <v>3</v>
      </c>
    </row>
    <row r="254" customFormat="false" ht="15" hidden="false" customHeight="false" outlineLevel="0" collapsed="false">
      <c r="A254" s="5" t="s">
        <v>576</v>
      </c>
      <c r="B254" s="5" t="s">
        <v>24</v>
      </c>
      <c r="C254" s="5" t="s">
        <v>25</v>
      </c>
      <c r="D254" s="5" t="s">
        <v>577</v>
      </c>
      <c r="E254" s="5" t="s">
        <v>38</v>
      </c>
      <c r="F254" s="5" t="s">
        <v>89</v>
      </c>
      <c r="G254" s="5" t="n">
        <f aca="false">LEN(TRIM(D254))-LEN(SUBSTITUTE(TRIM(D254)," ",""))+1</f>
        <v>14</v>
      </c>
      <c r="H254" s="5" t="str">
        <f aca="false">IF(G254&lt;40,"short",IF(G254&lt;100,"medium",IF(G254&lt;=200,"long","very long")))</f>
        <v>short</v>
      </c>
      <c r="I254" s="5" t="s">
        <v>29</v>
      </c>
      <c r="J254" s="5" t="n">
        <v>3</v>
      </c>
    </row>
    <row r="255" customFormat="false" ht="23.85" hidden="false" customHeight="false" outlineLevel="0" collapsed="false">
      <c r="A255" s="5" t="s">
        <v>578</v>
      </c>
      <c r="B255" s="5" t="s">
        <v>24</v>
      </c>
      <c r="C255" s="5" t="s">
        <v>25</v>
      </c>
      <c r="D255" s="5" t="s">
        <v>579</v>
      </c>
      <c r="E255" s="5" t="s">
        <v>54</v>
      </c>
      <c r="F255" s="5" t="s">
        <v>89</v>
      </c>
      <c r="G255" s="5" t="n">
        <f aca="false">LEN(TRIM(D255))-LEN(SUBSTITUTE(TRIM(D255)," ",""))+1</f>
        <v>34</v>
      </c>
      <c r="H255" s="5" t="str">
        <f aca="false">IF(G255&lt;40,"short",IF(G255&lt;100,"medium",IF(G255&lt;=200,"long","very long")))</f>
        <v>short</v>
      </c>
      <c r="I255" s="5" t="s">
        <v>29</v>
      </c>
      <c r="J255" s="5" t="n">
        <v>3</v>
      </c>
    </row>
    <row r="256" customFormat="false" ht="15" hidden="false" customHeight="false" outlineLevel="0" collapsed="false">
      <c r="A256" s="5" t="s">
        <v>580</v>
      </c>
      <c r="B256" s="5" t="s">
        <v>24</v>
      </c>
      <c r="C256" s="5" t="s">
        <v>25</v>
      </c>
      <c r="D256" s="5" t="s">
        <v>581</v>
      </c>
      <c r="E256" s="5" t="s">
        <v>32</v>
      </c>
      <c r="F256" s="5" t="s">
        <v>89</v>
      </c>
      <c r="G256" s="5" t="n">
        <f aca="false">LEN(TRIM(D256))-LEN(SUBSTITUTE(TRIM(D256)," ",""))+1</f>
        <v>20</v>
      </c>
      <c r="H256" s="5" t="str">
        <f aca="false">IF(G256&lt;40,"short",IF(G256&lt;100,"medium",IF(G256&lt;=200,"long","very long")))</f>
        <v>short</v>
      </c>
      <c r="I256" s="5" t="s">
        <v>29</v>
      </c>
      <c r="J256" s="5" t="n">
        <v>3</v>
      </c>
    </row>
    <row r="257" customFormat="false" ht="15" hidden="false" customHeight="false" outlineLevel="0" collapsed="false">
      <c r="A257" s="5" t="s">
        <v>582</v>
      </c>
      <c r="B257" s="5" t="s">
        <v>24</v>
      </c>
      <c r="C257" s="5" t="s">
        <v>25</v>
      </c>
      <c r="D257" s="5" t="s">
        <v>583</v>
      </c>
      <c r="E257" s="5" t="s">
        <v>67</v>
      </c>
      <c r="F257" s="5" t="s">
        <v>89</v>
      </c>
      <c r="G257" s="5" t="n">
        <f aca="false">LEN(TRIM(D257))-LEN(SUBSTITUTE(TRIM(D257)," ",""))+1</f>
        <v>18</v>
      </c>
      <c r="H257" s="5" t="str">
        <f aca="false">IF(G257&lt;40,"short",IF(G257&lt;100,"medium",IF(G257&lt;=200,"long","very long")))</f>
        <v>short</v>
      </c>
      <c r="I257" s="5" t="s">
        <v>29</v>
      </c>
      <c r="J257" s="5" t="n">
        <v>3</v>
      </c>
    </row>
    <row r="258" customFormat="false" ht="15" hidden="false" customHeight="false" outlineLevel="0" collapsed="false">
      <c r="A258" s="5" t="s">
        <v>584</v>
      </c>
      <c r="B258" s="5" t="s">
        <v>24</v>
      </c>
      <c r="C258" s="5" t="s">
        <v>25</v>
      </c>
      <c r="D258" s="5" t="s">
        <v>585</v>
      </c>
      <c r="E258" s="5" t="s">
        <v>43</v>
      </c>
      <c r="F258" s="5" t="s">
        <v>89</v>
      </c>
      <c r="G258" s="5" t="n">
        <f aca="false">LEN(TRIM(D258))-LEN(SUBSTITUTE(TRIM(D258)," ",""))+1</f>
        <v>17</v>
      </c>
      <c r="H258" s="5" t="str">
        <f aca="false">IF(G258&lt;40,"short",IF(G258&lt;100,"medium",IF(G258&lt;=200,"long","very long")))</f>
        <v>short</v>
      </c>
      <c r="I258" s="5" t="s">
        <v>29</v>
      </c>
      <c r="J258" s="5" t="n">
        <v>3</v>
      </c>
    </row>
    <row r="259" customFormat="false" ht="68.65" hidden="false" customHeight="false" outlineLevel="0" collapsed="false">
      <c r="A259" s="5" t="s">
        <v>586</v>
      </c>
      <c r="B259" s="5" t="s">
        <v>24</v>
      </c>
      <c r="C259" s="5" t="s">
        <v>25</v>
      </c>
      <c r="D259" s="5" t="s">
        <v>587</v>
      </c>
      <c r="E259" s="5" t="s">
        <v>49</v>
      </c>
      <c r="F259" s="5" t="s">
        <v>110</v>
      </c>
      <c r="G259" s="5" t="n">
        <f aca="false">LEN(TRIM(D259))-LEN(SUBSTITUTE(TRIM(D259)," ",""))+1</f>
        <v>120</v>
      </c>
      <c r="H259" s="5" t="str">
        <f aca="false">IF(G259&lt;40,"short",IF(G259&lt;100,"medium",IF(G259&lt;=200,"long","very long")))</f>
        <v>long</v>
      </c>
      <c r="I259" s="5" t="s">
        <v>29</v>
      </c>
      <c r="J259" s="5" t="n">
        <v>3</v>
      </c>
    </row>
    <row r="260" customFormat="false" ht="57.45" hidden="false" customHeight="false" outlineLevel="0" collapsed="false">
      <c r="A260" s="5" t="s">
        <v>588</v>
      </c>
      <c r="B260" s="5" t="s">
        <v>24</v>
      </c>
      <c r="C260" s="5" t="s">
        <v>25</v>
      </c>
      <c r="D260" s="5" t="s">
        <v>589</v>
      </c>
      <c r="E260" s="5" t="s">
        <v>54</v>
      </c>
      <c r="F260" s="5" t="s">
        <v>110</v>
      </c>
      <c r="G260" s="5" t="n">
        <f aca="false">LEN(TRIM(D260))-LEN(SUBSTITUTE(TRIM(D260)," ",""))+1</f>
        <v>108</v>
      </c>
      <c r="H260" s="5" t="str">
        <f aca="false">IF(G260&lt;40,"short",IF(G260&lt;100,"medium",IF(G260&lt;=200,"long","very long")))</f>
        <v>long</v>
      </c>
      <c r="I260" s="5" t="s">
        <v>29</v>
      </c>
      <c r="J260" s="5" t="n">
        <v>3</v>
      </c>
    </row>
    <row r="261" customFormat="false" ht="57.45" hidden="false" customHeight="false" outlineLevel="0" collapsed="false">
      <c r="A261" s="5" t="s">
        <v>590</v>
      </c>
      <c r="B261" s="5" t="s">
        <v>24</v>
      </c>
      <c r="C261" s="5" t="s">
        <v>25</v>
      </c>
      <c r="D261" s="5" t="s">
        <v>591</v>
      </c>
      <c r="E261" s="5" t="s">
        <v>32</v>
      </c>
      <c r="F261" s="5" t="s">
        <v>110</v>
      </c>
      <c r="G261" s="5" t="n">
        <f aca="false">LEN(TRIM(D261))-LEN(SUBSTITUTE(TRIM(D261)," ",""))+1</f>
        <v>91</v>
      </c>
      <c r="H261" s="5" t="str">
        <f aca="false">IF(G261&lt;40,"short",IF(G261&lt;100,"medium",IF(G261&lt;=200,"long","very long")))</f>
        <v>medium</v>
      </c>
      <c r="I261" s="5" t="s">
        <v>29</v>
      </c>
      <c r="J261" s="5" t="n">
        <v>3</v>
      </c>
    </row>
    <row r="262" customFormat="false" ht="35.05" hidden="false" customHeight="false" outlineLevel="0" collapsed="false">
      <c r="A262" s="5" t="s">
        <v>592</v>
      </c>
      <c r="B262" s="5" t="s">
        <v>24</v>
      </c>
      <c r="C262" s="5" t="s">
        <v>25</v>
      </c>
      <c r="D262" s="5" t="s">
        <v>593</v>
      </c>
      <c r="E262" s="5" t="s">
        <v>43</v>
      </c>
      <c r="F262" s="5" t="s">
        <v>110</v>
      </c>
      <c r="G262" s="5" t="n">
        <f aca="false">LEN(TRIM(D262))-LEN(SUBSTITUTE(TRIM(D262)," ",""))+1</f>
        <v>66</v>
      </c>
      <c r="H262" s="5" t="str">
        <f aca="false">IF(G262&lt;40,"short",IF(G262&lt;100,"medium",IF(G262&lt;=200,"long","very long")))</f>
        <v>medium</v>
      </c>
      <c r="I262" s="5" t="s">
        <v>29</v>
      </c>
      <c r="J262" s="5" t="n">
        <v>3</v>
      </c>
    </row>
    <row r="263" customFormat="false" ht="57.45" hidden="false" customHeight="false" outlineLevel="0" collapsed="false">
      <c r="A263" s="5" t="s">
        <v>594</v>
      </c>
      <c r="B263" s="5" t="s">
        <v>24</v>
      </c>
      <c r="C263" s="5" t="s">
        <v>25</v>
      </c>
      <c r="D263" s="5" t="s">
        <v>595</v>
      </c>
      <c r="E263" s="5" t="s">
        <v>38</v>
      </c>
      <c r="F263" s="5" t="s">
        <v>110</v>
      </c>
      <c r="G263" s="5" t="n">
        <f aca="false">LEN(TRIM(D263))-LEN(SUBSTITUTE(TRIM(D263)," ",""))+1</f>
        <v>113</v>
      </c>
      <c r="H263" s="5" t="str">
        <f aca="false">IF(G263&lt;40,"short",IF(G263&lt;100,"medium",IF(G263&lt;=200,"long","very long")))</f>
        <v>long</v>
      </c>
      <c r="I263" s="5" t="s">
        <v>29</v>
      </c>
      <c r="J263" s="5" t="n">
        <v>3</v>
      </c>
    </row>
    <row r="264" customFormat="false" ht="57.45" hidden="false" customHeight="false" outlineLevel="0" collapsed="false">
      <c r="A264" s="5" t="s">
        <v>596</v>
      </c>
      <c r="B264" s="5" t="s">
        <v>24</v>
      </c>
      <c r="C264" s="5" t="s">
        <v>25</v>
      </c>
      <c r="D264" s="5" t="s">
        <v>597</v>
      </c>
      <c r="E264" s="5" t="s">
        <v>35</v>
      </c>
      <c r="F264" s="5" t="s">
        <v>110</v>
      </c>
      <c r="G264" s="5" t="n">
        <f aca="false">LEN(TRIM(D264))-LEN(SUBSTITUTE(TRIM(D264)," ",""))+1</f>
        <v>90</v>
      </c>
      <c r="H264" s="5" t="str">
        <f aca="false">IF(G264&lt;40,"short",IF(G264&lt;100,"medium",IF(G264&lt;=200,"long","very long")))</f>
        <v>medium</v>
      </c>
      <c r="I264" s="5" t="s">
        <v>29</v>
      </c>
      <c r="J264" s="5" t="n">
        <v>3</v>
      </c>
    </row>
    <row r="265" customFormat="false" ht="46.25" hidden="false" customHeight="false" outlineLevel="0" collapsed="false">
      <c r="A265" s="5" t="s">
        <v>598</v>
      </c>
      <c r="B265" s="5" t="s">
        <v>24</v>
      </c>
      <c r="C265" s="5" t="s">
        <v>25</v>
      </c>
      <c r="D265" s="5" t="s">
        <v>599</v>
      </c>
      <c r="E265" s="5" t="s">
        <v>67</v>
      </c>
      <c r="F265" s="5" t="s">
        <v>110</v>
      </c>
      <c r="G265" s="5" t="n">
        <f aca="false">LEN(TRIM(D265))-LEN(SUBSTITUTE(TRIM(D265)," ",""))+1</f>
        <v>84</v>
      </c>
      <c r="H265" s="5" t="str">
        <f aca="false">IF(G265&lt;40,"short",IF(G265&lt;100,"medium",IF(G265&lt;=200,"long","very long")))</f>
        <v>medium</v>
      </c>
      <c r="I265" s="5" t="s">
        <v>29</v>
      </c>
      <c r="J265" s="5" t="n">
        <v>3</v>
      </c>
    </row>
    <row r="266" customFormat="false" ht="57.45" hidden="false" customHeight="false" outlineLevel="0" collapsed="false">
      <c r="A266" s="5" t="s">
        <v>600</v>
      </c>
      <c r="B266" s="5" t="s">
        <v>24</v>
      </c>
      <c r="C266" s="5" t="s">
        <v>25</v>
      </c>
      <c r="D266" s="5" t="s">
        <v>601</v>
      </c>
      <c r="E266" s="5" t="s">
        <v>80</v>
      </c>
      <c r="F266" s="5" t="s">
        <v>110</v>
      </c>
      <c r="G266" s="5" t="n">
        <f aca="false">LEN(TRIM(D266))-LEN(SUBSTITUTE(TRIM(D266)," ",""))+1</f>
        <v>104</v>
      </c>
      <c r="H266" s="5" t="str">
        <f aca="false">IF(G266&lt;40,"short",IF(G266&lt;100,"medium",IF(G266&lt;=200,"long","very long")))</f>
        <v>long</v>
      </c>
      <c r="I266" s="5" t="s">
        <v>29</v>
      </c>
      <c r="J266" s="5" t="n">
        <v>3</v>
      </c>
    </row>
    <row r="267" customFormat="false" ht="57.45" hidden="false" customHeight="false" outlineLevel="0" collapsed="false">
      <c r="A267" s="5" t="s">
        <v>602</v>
      </c>
      <c r="B267" s="5" t="s">
        <v>24</v>
      </c>
      <c r="C267" s="5" t="s">
        <v>25</v>
      </c>
      <c r="D267" s="5" t="s">
        <v>603</v>
      </c>
      <c r="E267" s="5" t="s">
        <v>46</v>
      </c>
      <c r="F267" s="5" t="s">
        <v>110</v>
      </c>
      <c r="G267" s="5" t="n">
        <f aca="false">LEN(TRIM(D267))-LEN(SUBSTITUTE(TRIM(D267)," ",""))+1</f>
        <v>88</v>
      </c>
      <c r="H267" s="5" t="str">
        <f aca="false">IF(G267&lt;40,"short",IF(G267&lt;100,"medium",IF(G267&lt;=200,"long","very long")))</f>
        <v>medium</v>
      </c>
      <c r="I267" s="5" t="s">
        <v>29</v>
      </c>
      <c r="J267" s="5" t="n">
        <v>3</v>
      </c>
    </row>
    <row r="268" customFormat="false" ht="35.05" hidden="false" customHeight="false" outlineLevel="0" collapsed="false">
      <c r="A268" s="5" t="s">
        <v>604</v>
      </c>
      <c r="B268" s="5" t="s">
        <v>24</v>
      </c>
      <c r="C268" s="5" t="s">
        <v>25</v>
      </c>
      <c r="D268" s="5" t="s">
        <v>605</v>
      </c>
      <c r="E268" s="5" t="s">
        <v>54</v>
      </c>
      <c r="F268" s="5" t="s">
        <v>110</v>
      </c>
      <c r="G268" s="5" t="n">
        <f aca="false">LEN(TRIM(D268))-LEN(SUBSTITUTE(TRIM(D268)," ",""))+1</f>
        <v>52</v>
      </c>
      <c r="H268" s="5" t="str">
        <f aca="false">IF(G268&lt;40,"short",IF(G268&lt;100,"medium",IF(G268&lt;=200,"long","very long")))</f>
        <v>medium</v>
      </c>
      <c r="I268" s="5" t="s">
        <v>29</v>
      </c>
      <c r="J268" s="5" t="n">
        <v>3</v>
      </c>
    </row>
    <row r="269" customFormat="false" ht="57.45" hidden="false" customHeight="false" outlineLevel="0" collapsed="false">
      <c r="A269" s="5" t="s">
        <v>606</v>
      </c>
      <c r="B269" s="5" t="s">
        <v>24</v>
      </c>
      <c r="C269" s="5" t="s">
        <v>25</v>
      </c>
      <c r="D269" s="5" t="s">
        <v>607</v>
      </c>
      <c r="E269" s="5" t="s">
        <v>49</v>
      </c>
      <c r="F269" s="5" t="s">
        <v>110</v>
      </c>
      <c r="G269" s="5" t="n">
        <f aca="false">LEN(TRIM(D269))-LEN(SUBSTITUTE(TRIM(D269)," ",""))+1</f>
        <v>93</v>
      </c>
      <c r="H269" s="5" t="str">
        <f aca="false">IF(G269&lt;40,"short",IF(G269&lt;100,"medium",IF(G269&lt;=200,"long","very long")))</f>
        <v>medium</v>
      </c>
      <c r="I269" s="5" t="s">
        <v>29</v>
      </c>
      <c r="J269" s="5" t="n">
        <v>3</v>
      </c>
    </row>
    <row r="270" customFormat="false" ht="46.25" hidden="false" customHeight="false" outlineLevel="0" collapsed="false">
      <c r="A270" s="5" t="s">
        <v>608</v>
      </c>
      <c r="B270" s="5" t="s">
        <v>24</v>
      </c>
      <c r="C270" s="5" t="s">
        <v>25</v>
      </c>
      <c r="D270" s="5" t="s">
        <v>609</v>
      </c>
      <c r="E270" s="5" t="s">
        <v>27</v>
      </c>
      <c r="F270" s="5" t="s">
        <v>110</v>
      </c>
      <c r="G270" s="5" t="n">
        <f aca="false">LEN(TRIM(D270))-LEN(SUBSTITUTE(TRIM(D270)," ",""))+1</f>
        <v>79</v>
      </c>
      <c r="H270" s="5" t="str">
        <f aca="false">IF(G270&lt;40,"short",IF(G270&lt;100,"medium",IF(G270&lt;=200,"long","very long")))</f>
        <v>medium</v>
      </c>
      <c r="I270" s="5" t="s">
        <v>29</v>
      </c>
      <c r="J270" s="5" t="n">
        <v>3</v>
      </c>
    </row>
    <row r="271" customFormat="false" ht="57.45" hidden="false" customHeight="false" outlineLevel="0" collapsed="false">
      <c r="A271" s="5" t="s">
        <v>610</v>
      </c>
      <c r="B271" s="5" t="s">
        <v>24</v>
      </c>
      <c r="C271" s="5" t="s">
        <v>25</v>
      </c>
      <c r="D271" s="5" t="s">
        <v>611</v>
      </c>
      <c r="E271" s="5" t="s">
        <v>80</v>
      </c>
      <c r="F271" s="5" t="s">
        <v>110</v>
      </c>
      <c r="G271" s="5" t="n">
        <f aca="false">LEN(TRIM(D271))-LEN(SUBSTITUTE(TRIM(D271)," ",""))+1</f>
        <v>98</v>
      </c>
      <c r="H271" s="5" t="str">
        <f aca="false">IF(G271&lt;40,"short",IF(G271&lt;100,"medium",IF(G271&lt;=200,"long","very long")))</f>
        <v>medium</v>
      </c>
      <c r="I271" s="5" t="s">
        <v>29</v>
      </c>
      <c r="J271" s="5" t="n">
        <v>3</v>
      </c>
    </row>
    <row r="272" customFormat="false" ht="23.85" hidden="false" customHeight="false" outlineLevel="0" collapsed="false">
      <c r="A272" s="5" t="s">
        <v>612</v>
      </c>
      <c r="B272" s="5" t="s">
        <v>24</v>
      </c>
      <c r="C272" s="5" t="s">
        <v>25</v>
      </c>
      <c r="D272" s="5" t="s">
        <v>613</v>
      </c>
      <c r="E272" s="5" t="s">
        <v>27</v>
      </c>
      <c r="F272" s="5" t="s">
        <v>110</v>
      </c>
      <c r="G272" s="5" t="n">
        <f aca="false">LEN(TRIM(D272))-LEN(SUBSTITUTE(TRIM(D272)," ",""))+1</f>
        <v>36</v>
      </c>
      <c r="H272" s="5" t="str">
        <f aca="false">IF(G272&lt;40,"short",IF(G272&lt;100,"medium",IF(G272&lt;=200,"long","very long")))</f>
        <v>short</v>
      </c>
      <c r="I272" s="5" t="s">
        <v>29</v>
      </c>
      <c r="J272" s="5" t="n">
        <v>3</v>
      </c>
    </row>
    <row r="273" customFormat="false" ht="46.25" hidden="false" customHeight="false" outlineLevel="0" collapsed="false">
      <c r="A273" s="5" t="s">
        <v>614</v>
      </c>
      <c r="B273" s="5" t="s">
        <v>24</v>
      </c>
      <c r="C273" s="5" t="s">
        <v>25</v>
      </c>
      <c r="D273" s="5" t="s">
        <v>615</v>
      </c>
      <c r="E273" s="5" t="s">
        <v>67</v>
      </c>
      <c r="F273" s="5" t="s">
        <v>110</v>
      </c>
      <c r="G273" s="5" t="n">
        <f aca="false">LEN(TRIM(D273))-LEN(SUBSTITUTE(TRIM(D273)," ",""))+1</f>
        <v>90</v>
      </c>
      <c r="H273" s="5" t="str">
        <f aca="false">IF(G273&lt;40,"short",IF(G273&lt;100,"medium",IF(G273&lt;=200,"long","very long")))</f>
        <v>medium</v>
      </c>
      <c r="I273" s="5" t="s">
        <v>29</v>
      </c>
      <c r="J273" s="5" t="n">
        <v>3</v>
      </c>
    </row>
    <row r="274" customFormat="false" ht="35.05" hidden="false" customHeight="false" outlineLevel="0" collapsed="false">
      <c r="A274" s="5" t="s">
        <v>616</v>
      </c>
      <c r="B274" s="5" t="s">
        <v>24</v>
      </c>
      <c r="C274" s="5" t="s">
        <v>25</v>
      </c>
      <c r="D274" s="5" t="s">
        <v>617</v>
      </c>
      <c r="E274" s="5" t="s">
        <v>43</v>
      </c>
      <c r="F274" s="5" t="s">
        <v>110</v>
      </c>
      <c r="G274" s="5" t="n">
        <f aca="false">LEN(TRIM(D274))-LEN(SUBSTITUTE(TRIM(D274)," ",""))+1</f>
        <v>54</v>
      </c>
      <c r="H274" s="5" t="str">
        <f aca="false">IF(G274&lt;40,"short",IF(G274&lt;100,"medium",IF(G274&lt;=200,"long","very long")))</f>
        <v>medium</v>
      </c>
      <c r="I274" s="5" t="s">
        <v>29</v>
      </c>
      <c r="J274" s="5" t="n">
        <v>3</v>
      </c>
    </row>
    <row r="275" customFormat="false" ht="46.25" hidden="false" customHeight="false" outlineLevel="0" collapsed="false">
      <c r="A275" s="5" t="s">
        <v>618</v>
      </c>
      <c r="B275" s="5" t="s">
        <v>24</v>
      </c>
      <c r="C275" s="5" t="s">
        <v>25</v>
      </c>
      <c r="D275" s="5" t="s">
        <v>619</v>
      </c>
      <c r="E275" s="5" t="s">
        <v>46</v>
      </c>
      <c r="F275" s="5" t="s">
        <v>110</v>
      </c>
      <c r="G275" s="5" t="n">
        <f aca="false">LEN(TRIM(D275))-LEN(SUBSTITUTE(TRIM(D275)," ",""))+1</f>
        <v>84</v>
      </c>
      <c r="H275" s="5" t="str">
        <f aca="false">IF(G275&lt;40,"short",IF(G275&lt;100,"medium",IF(G275&lt;=200,"long","very long")))</f>
        <v>medium</v>
      </c>
      <c r="I275" s="5" t="s">
        <v>29</v>
      </c>
      <c r="J275" s="5" t="n">
        <v>3</v>
      </c>
    </row>
    <row r="276" customFormat="false" ht="35.05" hidden="false" customHeight="false" outlineLevel="0" collapsed="false">
      <c r="A276" s="5" t="s">
        <v>620</v>
      </c>
      <c r="B276" s="5" t="s">
        <v>24</v>
      </c>
      <c r="C276" s="5" t="s">
        <v>25</v>
      </c>
      <c r="D276" s="5" t="s">
        <v>621</v>
      </c>
      <c r="E276" s="5" t="s">
        <v>49</v>
      </c>
      <c r="F276" s="5" t="s">
        <v>110</v>
      </c>
      <c r="G276" s="5" t="n">
        <f aca="false">LEN(TRIM(D276))-LEN(SUBSTITUTE(TRIM(D276)," ",""))+1</f>
        <v>59</v>
      </c>
      <c r="H276" s="5" t="str">
        <f aca="false">IF(G276&lt;40,"short",IF(G276&lt;100,"medium",IF(G276&lt;=200,"long","very long")))</f>
        <v>medium</v>
      </c>
      <c r="I276" s="5" t="s">
        <v>29</v>
      </c>
      <c r="J276" s="5" t="n">
        <v>3</v>
      </c>
    </row>
    <row r="277" customFormat="false" ht="23.85" hidden="false" customHeight="false" outlineLevel="0" collapsed="false">
      <c r="A277" s="5" t="s">
        <v>622</v>
      </c>
      <c r="B277" s="5" t="s">
        <v>24</v>
      </c>
      <c r="C277" s="5" t="s">
        <v>25</v>
      </c>
      <c r="D277" s="5" t="s">
        <v>623</v>
      </c>
      <c r="E277" s="5" t="s">
        <v>27</v>
      </c>
      <c r="F277" s="5" t="s">
        <v>110</v>
      </c>
      <c r="G277" s="5" t="n">
        <f aca="false">LEN(TRIM(D277))-LEN(SUBSTITUTE(TRIM(D277)," ",""))+1</f>
        <v>33</v>
      </c>
      <c r="H277" s="5" t="str">
        <f aca="false">IF(G277&lt;40,"short",IF(G277&lt;100,"medium",IF(G277&lt;=200,"long","very long")))</f>
        <v>short</v>
      </c>
      <c r="I277" s="5" t="s">
        <v>29</v>
      </c>
      <c r="J277" s="5" t="n">
        <v>3</v>
      </c>
    </row>
    <row r="278" customFormat="false" ht="57.45" hidden="false" customHeight="false" outlineLevel="0" collapsed="false">
      <c r="A278" s="5" t="s">
        <v>624</v>
      </c>
      <c r="B278" s="5" t="s">
        <v>24</v>
      </c>
      <c r="C278" s="5" t="s">
        <v>25</v>
      </c>
      <c r="D278" s="5" t="s">
        <v>625</v>
      </c>
      <c r="E278" s="5" t="s">
        <v>35</v>
      </c>
      <c r="F278" s="5" t="s">
        <v>110</v>
      </c>
      <c r="G278" s="5" t="n">
        <f aca="false">LEN(TRIM(D278))-LEN(SUBSTITUTE(TRIM(D278)," ",""))+1</f>
        <v>94</v>
      </c>
      <c r="H278" s="5" t="str">
        <f aca="false">IF(G278&lt;40,"short",IF(G278&lt;100,"medium",IF(G278&lt;=200,"long","very long")))</f>
        <v>medium</v>
      </c>
      <c r="I278" s="5" t="s">
        <v>29</v>
      </c>
      <c r="J278" s="5" t="n">
        <v>3</v>
      </c>
    </row>
    <row r="279" customFormat="false" ht="23.85" hidden="false" customHeight="false" outlineLevel="0" collapsed="false">
      <c r="A279" s="5" t="s">
        <v>626</v>
      </c>
      <c r="B279" s="5" t="s">
        <v>24</v>
      </c>
      <c r="C279" s="5" t="s">
        <v>25</v>
      </c>
      <c r="D279" s="5" t="s">
        <v>627</v>
      </c>
      <c r="E279" s="5" t="s">
        <v>49</v>
      </c>
      <c r="F279" s="5" t="s">
        <v>141</v>
      </c>
      <c r="G279" s="5" t="n">
        <f aca="false">LEN(TRIM(D279))-LEN(SUBSTITUTE(TRIM(D279)," ",""))+1</f>
        <v>40</v>
      </c>
      <c r="H279" s="5" t="str">
        <f aca="false">IF(G279&lt;40,"short",IF(G279&lt;100,"medium",IF(G279&lt;=200,"long","very long")))</f>
        <v>medium</v>
      </c>
      <c r="I279" s="5" t="s">
        <v>29</v>
      </c>
      <c r="J279" s="5" t="n">
        <v>3</v>
      </c>
    </row>
    <row r="280" customFormat="false" ht="23.85" hidden="false" customHeight="false" outlineLevel="0" collapsed="false">
      <c r="A280" s="5" t="s">
        <v>628</v>
      </c>
      <c r="B280" s="5" t="s">
        <v>24</v>
      </c>
      <c r="C280" s="5" t="s">
        <v>25</v>
      </c>
      <c r="D280" s="5" t="s">
        <v>629</v>
      </c>
      <c r="E280" s="5" t="s">
        <v>43</v>
      </c>
      <c r="F280" s="5" t="s">
        <v>141</v>
      </c>
      <c r="G280" s="5" t="n">
        <f aca="false">LEN(TRIM(D280))-LEN(SUBSTITUTE(TRIM(D280)," ",""))+1</f>
        <v>41</v>
      </c>
      <c r="H280" s="5" t="str">
        <f aca="false">IF(G280&lt;40,"short",IF(G280&lt;100,"medium",IF(G280&lt;=200,"long","very long")))</f>
        <v>medium</v>
      </c>
      <c r="I280" s="5" t="s">
        <v>29</v>
      </c>
      <c r="J280" s="5" t="n">
        <v>3</v>
      </c>
    </row>
    <row r="281" customFormat="false" ht="15" hidden="false" customHeight="false" outlineLevel="0" collapsed="false">
      <c r="A281" s="5" t="s">
        <v>630</v>
      </c>
      <c r="B281" s="5" t="s">
        <v>24</v>
      </c>
      <c r="C281" s="5" t="s">
        <v>25</v>
      </c>
      <c r="D281" s="5" t="s">
        <v>631</v>
      </c>
      <c r="E281" s="5" t="s">
        <v>27</v>
      </c>
      <c r="F281" s="5" t="s">
        <v>141</v>
      </c>
      <c r="G281" s="5" t="n">
        <f aca="false">LEN(TRIM(D281))-LEN(SUBSTITUTE(TRIM(D281)," ",""))+1</f>
        <v>20</v>
      </c>
      <c r="H281" s="5" t="str">
        <f aca="false">IF(G281&lt;40,"short",IF(G281&lt;100,"medium",IF(G281&lt;=200,"long","very long")))</f>
        <v>short</v>
      </c>
      <c r="I281" s="5" t="s">
        <v>29</v>
      </c>
      <c r="J281" s="5" t="n">
        <v>3</v>
      </c>
    </row>
    <row r="282" customFormat="false" ht="23.85" hidden="false" customHeight="false" outlineLevel="0" collapsed="false">
      <c r="A282" s="5" t="s">
        <v>632</v>
      </c>
      <c r="B282" s="5" t="s">
        <v>24</v>
      </c>
      <c r="C282" s="5" t="s">
        <v>25</v>
      </c>
      <c r="D282" s="5" t="s">
        <v>633</v>
      </c>
      <c r="E282" s="5" t="s">
        <v>35</v>
      </c>
      <c r="F282" s="5" t="s">
        <v>141</v>
      </c>
      <c r="G282" s="5" t="n">
        <f aca="false">LEN(TRIM(D282))-LEN(SUBSTITUTE(TRIM(D282)," ",""))+1</f>
        <v>24</v>
      </c>
      <c r="H282" s="5" t="str">
        <f aca="false">IF(G282&lt;40,"short",IF(G282&lt;100,"medium",IF(G282&lt;=200,"long","very long")))</f>
        <v>short</v>
      </c>
      <c r="I282" s="5" t="s">
        <v>29</v>
      </c>
      <c r="J282" s="5" t="n">
        <v>3</v>
      </c>
    </row>
    <row r="283" customFormat="false" ht="23.85" hidden="false" customHeight="false" outlineLevel="0" collapsed="false">
      <c r="A283" s="5" t="s">
        <v>634</v>
      </c>
      <c r="B283" s="5" t="s">
        <v>24</v>
      </c>
      <c r="C283" s="5" t="s">
        <v>25</v>
      </c>
      <c r="D283" s="5" t="s">
        <v>635</v>
      </c>
      <c r="E283" s="5" t="s">
        <v>67</v>
      </c>
      <c r="F283" s="5" t="s">
        <v>141</v>
      </c>
      <c r="G283" s="5" t="n">
        <f aca="false">LEN(TRIM(D283))-LEN(SUBSTITUTE(TRIM(D283)," ",""))+1</f>
        <v>37</v>
      </c>
      <c r="H283" s="5" t="str">
        <f aca="false">IF(G283&lt;40,"short",IF(G283&lt;100,"medium",IF(G283&lt;=200,"long","very long")))</f>
        <v>short</v>
      </c>
      <c r="I283" s="5" t="s">
        <v>29</v>
      </c>
      <c r="J283" s="5" t="n">
        <v>3</v>
      </c>
    </row>
    <row r="284" customFormat="false" ht="23.85" hidden="false" customHeight="false" outlineLevel="0" collapsed="false">
      <c r="A284" s="5" t="s">
        <v>636</v>
      </c>
      <c r="B284" s="5" t="s">
        <v>24</v>
      </c>
      <c r="C284" s="5" t="s">
        <v>25</v>
      </c>
      <c r="D284" s="5" t="s">
        <v>637</v>
      </c>
      <c r="E284" s="5" t="s">
        <v>80</v>
      </c>
      <c r="F284" s="5" t="s">
        <v>141</v>
      </c>
      <c r="G284" s="5" t="n">
        <f aca="false">LEN(TRIM(D284))-LEN(SUBSTITUTE(TRIM(D284)," ",""))+1</f>
        <v>32</v>
      </c>
      <c r="H284" s="5" t="str">
        <f aca="false">IF(G284&lt;40,"short",IF(G284&lt;100,"medium",IF(G284&lt;=200,"long","very long")))</f>
        <v>short</v>
      </c>
      <c r="I284" s="5" t="s">
        <v>29</v>
      </c>
      <c r="J284" s="5" t="n">
        <v>3</v>
      </c>
    </row>
    <row r="285" customFormat="false" ht="23.85" hidden="false" customHeight="false" outlineLevel="0" collapsed="false">
      <c r="A285" s="5" t="s">
        <v>638</v>
      </c>
      <c r="B285" s="5" t="s">
        <v>24</v>
      </c>
      <c r="C285" s="5" t="s">
        <v>25</v>
      </c>
      <c r="D285" s="5" t="s">
        <v>639</v>
      </c>
      <c r="E285" s="5" t="s">
        <v>38</v>
      </c>
      <c r="F285" s="5" t="s">
        <v>141</v>
      </c>
      <c r="G285" s="5" t="n">
        <f aca="false">LEN(TRIM(D285))-LEN(SUBSTITUTE(TRIM(D285)," ",""))+1</f>
        <v>24</v>
      </c>
      <c r="H285" s="5" t="str">
        <f aca="false">IF(G285&lt;40,"short",IF(G285&lt;100,"medium",IF(G285&lt;=200,"long","very long")))</f>
        <v>short</v>
      </c>
      <c r="I285" s="5" t="s">
        <v>29</v>
      </c>
      <c r="J285" s="5" t="n">
        <v>3</v>
      </c>
    </row>
    <row r="286" customFormat="false" ht="23.85" hidden="false" customHeight="false" outlineLevel="0" collapsed="false">
      <c r="A286" s="5" t="s">
        <v>640</v>
      </c>
      <c r="B286" s="5" t="s">
        <v>24</v>
      </c>
      <c r="C286" s="5" t="s">
        <v>25</v>
      </c>
      <c r="D286" s="5" t="s">
        <v>641</v>
      </c>
      <c r="E286" s="5" t="s">
        <v>54</v>
      </c>
      <c r="F286" s="5" t="s">
        <v>141</v>
      </c>
      <c r="G286" s="5" t="n">
        <f aca="false">LEN(TRIM(D286))-LEN(SUBSTITUTE(TRIM(D286)," ",""))+1</f>
        <v>23</v>
      </c>
      <c r="H286" s="5" t="str">
        <f aca="false">IF(G286&lt;40,"short",IF(G286&lt;100,"medium",IF(G286&lt;=200,"long","very long")))</f>
        <v>short</v>
      </c>
      <c r="I286" s="5" t="s">
        <v>29</v>
      </c>
      <c r="J286" s="5" t="n">
        <v>3</v>
      </c>
    </row>
    <row r="287" customFormat="false" ht="15" hidden="false" customHeight="false" outlineLevel="0" collapsed="false">
      <c r="A287" s="5" t="s">
        <v>642</v>
      </c>
      <c r="B287" s="5" t="s">
        <v>24</v>
      </c>
      <c r="C287" s="5" t="s">
        <v>25</v>
      </c>
      <c r="D287" s="5" t="s">
        <v>643</v>
      </c>
      <c r="E287" s="5" t="s">
        <v>43</v>
      </c>
      <c r="F287" s="5" t="s">
        <v>141</v>
      </c>
      <c r="G287" s="5" t="n">
        <f aca="false">LEN(TRIM(D287))-LEN(SUBSTITUTE(TRIM(D287)," ",""))+1</f>
        <v>16</v>
      </c>
      <c r="H287" s="5" t="str">
        <f aca="false">IF(G287&lt;40,"short",IF(G287&lt;100,"medium",IF(G287&lt;=200,"long","very long")))</f>
        <v>short</v>
      </c>
      <c r="I287" s="5" t="s">
        <v>29</v>
      </c>
      <c r="J287" s="5" t="n">
        <v>3</v>
      </c>
    </row>
    <row r="288" customFormat="false" ht="23.85" hidden="false" customHeight="false" outlineLevel="0" collapsed="false">
      <c r="A288" s="5" t="s">
        <v>644</v>
      </c>
      <c r="B288" s="5" t="s">
        <v>24</v>
      </c>
      <c r="C288" s="5" t="s">
        <v>25</v>
      </c>
      <c r="D288" s="5" t="s">
        <v>645</v>
      </c>
      <c r="E288" s="5" t="s">
        <v>49</v>
      </c>
      <c r="F288" s="5" t="s">
        <v>141</v>
      </c>
      <c r="G288" s="5" t="n">
        <f aca="false">LEN(TRIM(D288))-LEN(SUBSTITUTE(TRIM(D288)," ",""))+1</f>
        <v>35</v>
      </c>
      <c r="H288" s="5" t="str">
        <f aca="false">IF(G288&lt;40,"short",IF(G288&lt;100,"medium",IF(G288&lt;=200,"long","very long")))</f>
        <v>short</v>
      </c>
      <c r="I288" s="5" t="s">
        <v>29</v>
      </c>
      <c r="J288" s="5" t="n">
        <v>3</v>
      </c>
    </row>
    <row r="289" customFormat="false" ht="15" hidden="false" customHeight="false" outlineLevel="0" collapsed="false">
      <c r="A289" s="5" t="s">
        <v>646</v>
      </c>
      <c r="B289" s="5" t="s">
        <v>24</v>
      </c>
      <c r="C289" s="5" t="s">
        <v>25</v>
      </c>
      <c r="D289" s="5" t="s">
        <v>647</v>
      </c>
      <c r="E289" s="5" t="s">
        <v>32</v>
      </c>
      <c r="F289" s="5" t="s">
        <v>141</v>
      </c>
      <c r="G289" s="5" t="n">
        <f aca="false">LEN(TRIM(D289))-LEN(SUBSTITUTE(TRIM(D289)," ",""))+1</f>
        <v>15</v>
      </c>
      <c r="H289" s="5" t="str">
        <f aca="false">IF(G289&lt;40,"short",IF(G289&lt;100,"medium",IF(G289&lt;=200,"long","very long")))</f>
        <v>short</v>
      </c>
      <c r="I289" s="5" t="s">
        <v>29</v>
      </c>
      <c r="J289" s="5" t="n">
        <v>3</v>
      </c>
    </row>
    <row r="290" customFormat="false" ht="15" hidden="false" customHeight="false" outlineLevel="0" collapsed="false">
      <c r="A290" s="5" t="s">
        <v>648</v>
      </c>
      <c r="B290" s="5" t="s">
        <v>24</v>
      </c>
      <c r="C290" s="5" t="s">
        <v>25</v>
      </c>
      <c r="D290" s="5" t="s">
        <v>649</v>
      </c>
      <c r="E290" s="5" t="s">
        <v>46</v>
      </c>
      <c r="F290" s="5" t="s">
        <v>141</v>
      </c>
      <c r="G290" s="5" t="n">
        <f aca="false">LEN(TRIM(D290))-LEN(SUBSTITUTE(TRIM(D290)," ",""))+1</f>
        <v>20</v>
      </c>
      <c r="H290" s="5" t="str">
        <f aca="false">IF(G290&lt;40,"short",IF(G290&lt;100,"medium",IF(G290&lt;=200,"long","very long")))</f>
        <v>short</v>
      </c>
      <c r="I290" s="5" t="s">
        <v>29</v>
      </c>
      <c r="J290" s="5" t="n">
        <v>3</v>
      </c>
    </row>
    <row r="291" customFormat="false" ht="15" hidden="false" customHeight="false" outlineLevel="0" collapsed="false">
      <c r="A291" s="5" t="s">
        <v>650</v>
      </c>
      <c r="B291" s="5" t="s">
        <v>24</v>
      </c>
      <c r="C291" s="5" t="s">
        <v>25</v>
      </c>
      <c r="D291" s="5" t="s">
        <v>651</v>
      </c>
      <c r="E291" s="5" t="s">
        <v>49</v>
      </c>
      <c r="F291" s="5" t="s">
        <v>141</v>
      </c>
      <c r="G291" s="5" t="n">
        <f aca="false">LEN(TRIM(D291))-LEN(SUBSTITUTE(TRIM(D291)," ",""))+1</f>
        <v>18</v>
      </c>
      <c r="H291" s="5" t="str">
        <f aca="false">IF(G291&lt;40,"short",IF(G291&lt;100,"medium",IF(G291&lt;=200,"long","very long")))</f>
        <v>short</v>
      </c>
      <c r="I291" s="5" t="s">
        <v>29</v>
      </c>
      <c r="J291" s="5" t="n">
        <v>3</v>
      </c>
    </row>
    <row r="292" customFormat="false" ht="35.05" hidden="false" customHeight="false" outlineLevel="0" collapsed="false">
      <c r="A292" s="5" t="s">
        <v>652</v>
      </c>
      <c r="B292" s="5" t="s">
        <v>24</v>
      </c>
      <c r="C292" s="5" t="s">
        <v>25</v>
      </c>
      <c r="D292" s="5" t="s">
        <v>653</v>
      </c>
      <c r="E292" s="5" t="s">
        <v>27</v>
      </c>
      <c r="F292" s="5" t="s">
        <v>141</v>
      </c>
      <c r="G292" s="5" t="n">
        <f aca="false">LEN(TRIM(D292))-LEN(SUBSTITUTE(TRIM(D292)," ",""))+1</f>
        <v>44</v>
      </c>
      <c r="H292" s="5" t="str">
        <f aca="false">IF(G292&lt;40,"short",IF(G292&lt;100,"medium",IF(G292&lt;=200,"long","very long")))</f>
        <v>medium</v>
      </c>
      <c r="I292" s="5" t="s">
        <v>29</v>
      </c>
      <c r="J292" s="5" t="n">
        <v>3</v>
      </c>
    </row>
    <row r="293" customFormat="false" ht="15" hidden="false" customHeight="false" outlineLevel="0" collapsed="false">
      <c r="A293" s="5" t="s">
        <v>654</v>
      </c>
      <c r="B293" s="5" t="s">
        <v>24</v>
      </c>
      <c r="C293" s="5" t="s">
        <v>25</v>
      </c>
      <c r="D293" s="5" t="s">
        <v>655</v>
      </c>
      <c r="E293" s="5" t="s">
        <v>35</v>
      </c>
      <c r="F293" s="5" t="s">
        <v>141</v>
      </c>
      <c r="G293" s="5" t="n">
        <f aca="false">LEN(TRIM(D293))-LEN(SUBSTITUTE(TRIM(D293)," ",""))+1</f>
        <v>17</v>
      </c>
      <c r="H293" s="5" t="str">
        <f aca="false">IF(G293&lt;40,"short",IF(G293&lt;100,"medium",IF(G293&lt;=200,"long","very long")))</f>
        <v>short</v>
      </c>
      <c r="I293" s="5" t="s">
        <v>29</v>
      </c>
      <c r="J293" s="5" t="n">
        <v>3</v>
      </c>
    </row>
    <row r="294" customFormat="false" ht="23.85" hidden="false" customHeight="false" outlineLevel="0" collapsed="false">
      <c r="A294" s="5" t="s">
        <v>656</v>
      </c>
      <c r="B294" s="5" t="s">
        <v>24</v>
      </c>
      <c r="C294" s="5" t="s">
        <v>25</v>
      </c>
      <c r="D294" s="5" t="s">
        <v>657</v>
      </c>
      <c r="E294" s="5" t="s">
        <v>32</v>
      </c>
      <c r="F294" s="5" t="s">
        <v>141</v>
      </c>
      <c r="G294" s="5" t="n">
        <f aca="false">LEN(TRIM(D294))-LEN(SUBSTITUTE(TRIM(D294)," ",""))+1</f>
        <v>42</v>
      </c>
      <c r="H294" s="5" t="str">
        <f aca="false">IF(G294&lt;40,"short",IF(G294&lt;100,"medium",IF(G294&lt;=200,"long","very long")))</f>
        <v>medium</v>
      </c>
      <c r="I294" s="5" t="s">
        <v>29</v>
      </c>
      <c r="J294" s="5" t="n">
        <v>3</v>
      </c>
    </row>
    <row r="295" customFormat="false" ht="15" hidden="false" customHeight="false" outlineLevel="0" collapsed="false">
      <c r="A295" s="5" t="s">
        <v>658</v>
      </c>
      <c r="B295" s="5" t="s">
        <v>24</v>
      </c>
      <c r="C295" s="5" t="s">
        <v>25</v>
      </c>
      <c r="D295" s="5" t="s">
        <v>659</v>
      </c>
      <c r="E295" s="5" t="s">
        <v>49</v>
      </c>
      <c r="F295" s="5" t="s">
        <v>141</v>
      </c>
      <c r="G295" s="5" t="n">
        <f aca="false">LEN(TRIM(D295))-LEN(SUBSTITUTE(TRIM(D295)," ",""))+1</f>
        <v>20</v>
      </c>
      <c r="H295" s="5" t="str">
        <f aca="false">IF(G295&lt;40,"short",IF(G295&lt;100,"medium",IF(G295&lt;=200,"long","very long")))</f>
        <v>short</v>
      </c>
      <c r="I295" s="5" t="s">
        <v>29</v>
      </c>
      <c r="J295" s="5" t="n">
        <v>3</v>
      </c>
    </row>
    <row r="296" customFormat="false" ht="23.85" hidden="false" customHeight="false" outlineLevel="0" collapsed="false">
      <c r="A296" s="5" t="s">
        <v>660</v>
      </c>
      <c r="B296" s="5" t="s">
        <v>24</v>
      </c>
      <c r="C296" s="5" t="s">
        <v>25</v>
      </c>
      <c r="D296" s="5" t="s">
        <v>661</v>
      </c>
      <c r="E296" s="5" t="s">
        <v>54</v>
      </c>
      <c r="F296" s="5" t="s">
        <v>141</v>
      </c>
      <c r="G296" s="5" t="n">
        <f aca="false">LEN(TRIM(D296))-LEN(SUBSTITUTE(TRIM(D296)," ",""))+1</f>
        <v>31</v>
      </c>
      <c r="H296" s="5" t="str">
        <f aca="false">IF(G296&lt;40,"short",IF(G296&lt;100,"medium",IF(G296&lt;=200,"long","very long")))</f>
        <v>short</v>
      </c>
      <c r="I296" s="5" t="s">
        <v>29</v>
      </c>
      <c r="J296" s="5" t="n">
        <v>3</v>
      </c>
    </row>
    <row r="297" customFormat="false" ht="15" hidden="false" customHeight="false" outlineLevel="0" collapsed="false">
      <c r="A297" s="5" t="s">
        <v>662</v>
      </c>
      <c r="B297" s="5" t="s">
        <v>24</v>
      </c>
      <c r="C297" s="5" t="s">
        <v>25</v>
      </c>
      <c r="D297" s="5" t="s">
        <v>663</v>
      </c>
      <c r="E297" s="5" t="s">
        <v>80</v>
      </c>
      <c r="F297" s="5" t="s">
        <v>141</v>
      </c>
      <c r="G297" s="5" t="n">
        <f aca="false">LEN(TRIM(D297))-LEN(SUBSTITUTE(TRIM(D297)," ",""))+1</f>
        <v>12</v>
      </c>
      <c r="H297" s="5" t="str">
        <f aca="false">IF(G297&lt;40,"short",IF(G297&lt;100,"medium",IF(G297&lt;=200,"long","very long")))</f>
        <v>short</v>
      </c>
      <c r="I297" s="5" t="s">
        <v>29</v>
      </c>
      <c r="J297" s="5" t="n">
        <v>3</v>
      </c>
    </row>
    <row r="298" customFormat="false" ht="23.85" hidden="false" customHeight="false" outlineLevel="0" collapsed="false">
      <c r="A298" s="5" t="s">
        <v>664</v>
      </c>
      <c r="B298" s="5" t="s">
        <v>24</v>
      </c>
      <c r="C298" s="5" t="s">
        <v>25</v>
      </c>
      <c r="D298" s="5" t="s">
        <v>665</v>
      </c>
      <c r="E298" s="5" t="s">
        <v>67</v>
      </c>
      <c r="F298" s="5" t="s">
        <v>141</v>
      </c>
      <c r="G298" s="5" t="n">
        <f aca="false">LEN(TRIM(D298))-LEN(SUBSTITUTE(TRIM(D298)," ",""))+1</f>
        <v>35</v>
      </c>
      <c r="H298" s="5" t="str">
        <f aca="false">IF(G298&lt;40,"short",IF(G298&lt;100,"medium",IF(G298&lt;=200,"long","very long")))</f>
        <v>short</v>
      </c>
      <c r="I298" s="5" t="s">
        <v>29</v>
      </c>
      <c r="J298" s="5" t="n">
        <v>3</v>
      </c>
    </row>
    <row r="299" customFormat="false" ht="15" hidden="false" customHeight="false" outlineLevel="0" collapsed="false">
      <c r="A299" s="5" t="s">
        <v>666</v>
      </c>
      <c r="B299" s="5" t="s">
        <v>24</v>
      </c>
      <c r="C299" s="5" t="s">
        <v>25</v>
      </c>
      <c r="D299" s="5" t="s">
        <v>667</v>
      </c>
      <c r="E299" s="5" t="s">
        <v>38</v>
      </c>
      <c r="F299" s="5" t="s">
        <v>141</v>
      </c>
      <c r="G299" s="5" t="n">
        <f aca="false">LEN(TRIM(D299))-LEN(SUBSTITUTE(TRIM(D299)," ",""))+1</f>
        <v>11</v>
      </c>
      <c r="H299" s="5" t="str">
        <f aca="false">IF(G299&lt;40,"short",IF(G299&lt;100,"medium",IF(G299&lt;=200,"long","very long")))</f>
        <v>short</v>
      </c>
      <c r="I299" s="5" t="s">
        <v>29</v>
      </c>
      <c r="J299" s="5" t="n">
        <v>3</v>
      </c>
    </row>
    <row r="300" customFormat="false" ht="23.85" hidden="false" customHeight="false" outlineLevel="0" collapsed="false">
      <c r="A300" s="5" t="s">
        <v>668</v>
      </c>
      <c r="B300" s="5" t="s">
        <v>24</v>
      </c>
      <c r="C300" s="5" t="s">
        <v>25</v>
      </c>
      <c r="D300" s="5" t="s">
        <v>669</v>
      </c>
      <c r="E300" s="5" t="s">
        <v>43</v>
      </c>
      <c r="F300" s="5" t="s">
        <v>141</v>
      </c>
      <c r="G300" s="5" t="n">
        <f aca="false">LEN(TRIM(D300))-LEN(SUBSTITUTE(TRIM(D300)," ",""))+1</f>
        <v>39</v>
      </c>
      <c r="H300" s="5" t="str">
        <f aca="false">IF(G300&lt;40,"short",IF(G300&lt;100,"medium",IF(G300&lt;=200,"long","very long")))</f>
        <v>short</v>
      </c>
      <c r="I300" s="5" t="s">
        <v>29</v>
      </c>
      <c r="J300" s="5" t="n">
        <v>3</v>
      </c>
    </row>
    <row r="301" customFormat="false" ht="57.45" hidden="false" customHeight="false" outlineLevel="0" collapsed="false">
      <c r="A301" s="5" t="s">
        <v>670</v>
      </c>
      <c r="B301" s="5" t="s">
        <v>24</v>
      </c>
      <c r="C301" s="5" t="s">
        <v>25</v>
      </c>
      <c r="D301" s="5" t="s">
        <v>671</v>
      </c>
      <c r="E301" s="5" t="s">
        <v>672</v>
      </c>
      <c r="F301" s="5" t="s">
        <v>173</v>
      </c>
      <c r="G301" s="5" t="n">
        <f aca="false">LEN(TRIM(D301))-LEN(SUBSTITUTE(TRIM(D301)," ",""))+1</f>
        <v>94</v>
      </c>
      <c r="H301" s="5" t="str">
        <f aca="false">IF(G301&lt;40,"short",IF(G301&lt;100,"medium",IF(G301&lt;=200,"long","very long")))</f>
        <v>medium</v>
      </c>
      <c r="I301" s="5" t="s">
        <v>29</v>
      </c>
      <c r="J301" s="5" t="n">
        <v>3</v>
      </c>
    </row>
    <row r="302" customFormat="false" ht="57.45" hidden="false" customHeight="false" outlineLevel="0" collapsed="false">
      <c r="A302" s="5" t="s">
        <v>673</v>
      </c>
      <c r="B302" s="5" t="s">
        <v>24</v>
      </c>
      <c r="C302" s="5" t="s">
        <v>25</v>
      </c>
      <c r="D302" s="5" t="s">
        <v>674</v>
      </c>
      <c r="E302" s="5" t="s">
        <v>675</v>
      </c>
      <c r="F302" s="5" t="s">
        <v>173</v>
      </c>
      <c r="G302" s="5" t="n">
        <f aca="false">LEN(TRIM(D302))-LEN(SUBSTITUTE(TRIM(D302)," ",""))+1</f>
        <v>99</v>
      </c>
      <c r="H302" s="5" t="str">
        <f aca="false">IF(G302&lt;40,"short",IF(G302&lt;100,"medium",IF(G302&lt;=200,"long","very long")))</f>
        <v>medium</v>
      </c>
      <c r="I302" s="5" t="s">
        <v>29</v>
      </c>
      <c r="J302" s="5" t="n">
        <v>3</v>
      </c>
    </row>
    <row r="303" customFormat="false" ht="57.45" hidden="false" customHeight="false" outlineLevel="0" collapsed="false">
      <c r="A303" s="5" t="s">
        <v>676</v>
      </c>
      <c r="B303" s="5" t="s">
        <v>24</v>
      </c>
      <c r="C303" s="5" t="s">
        <v>25</v>
      </c>
      <c r="D303" s="5" t="s">
        <v>677</v>
      </c>
      <c r="E303" s="5" t="s">
        <v>222</v>
      </c>
      <c r="F303" s="5" t="s">
        <v>173</v>
      </c>
      <c r="G303" s="5" t="n">
        <f aca="false">LEN(TRIM(D303))-LEN(SUBSTITUTE(TRIM(D303)," ",""))+1</f>
        <v>93</v>
      </c>
      <c r="H303" s="5" t="str">
        <f aca="false">IF(G303&lt;40,"short",IF(G303&lt;100,"medium",IF(G303&lt;=200,"long","very long")))</f>
        <v>medium</v>
      </c>
      <c r="I303" s="5" t="s">
        <v>29</v>
      </c>
      <c r="J303" s="5" t="n">
        <v>3</v>
      </c>
    </row>
    <row r="304" customFormat="false" ht="57.45" hidden="false" customHeight="false" outlineLevel="0" collapsed="false">
      <c r="A304" s="5" t="s">
        <v>678</v>
      </c>
      <c r="B304" s="5" t="s">
        <v>24</v>
      </c>
      <c r="C304" s="5" t="s">
        <v>25</v>
      </c>
      <c r="D304" s="5" t="s">
        <v>679</v>
      </c>
      <c r="E304" s="5" t="s">
        <v>429</v>
      </c>
      <c r="F304" s="5" t="s">
        <v>173</v>
      </c>
      <c r="G304" s="5" t="n">
        <f aca="false">LEN(TRIM(D304))-LEN(SUBSTITUTE(TRIM(D304)," ",""))+1</f>
        <v>89</v>
      </c>
      <c r="H304" s="5" t="str">
        <f aca="false">IF(G304&lt;40,"short",IF(G304&lt;100,"medium",IF(G304&lt;=200,"long","very long")))</f>
        <v>medium</v>
      </c>
      <c r="I304" s="5" t="s">
        <v>29</v>
      </c>
      <c r="J304" s="5" t="n">
        <v>3</v>
      </c>
    </row>
    <row r="305" customFormat="false" ht="35.05" hidden="false" customHeight="false" outlineLevel="0" collapsed="false">
      <c r="A305" s="5" t="s">
        <v>680</v>
      </c>
      <c r="B305" s="5" t="s">
        <v>24</v>
      </c>
      <c r="C305" s="5" t="s">
        <v>25</v>
      </c>
      <c r="D305" s="5" t="s">
        <v>681</v>
      </c>
      <c r="E305" s="5" t="s">
        <v>682</v>
      </c>
      <c r="F305" s="5" t="s">
        <v>173</v>
      </c>
      <c r="G305" s="5" t="n">
        <f aca="false">LEN(TRIM(D305))-LEN(SUBSTITUTE(TRIM(D305)," ",""))+1</f>
        <v>42</v>
      </c>
      <c r="H305" s="5" t="str">
        <f aca="false">IF(G305&lt;40,"short",IF(G305&lt;100,"medium",IF(G305&lt;=200,"long","very long")))</f>
        <v>medium</v>
      </c>
      <c r="I305" s="5" t="s">
        <v>29</v>
      </c>
      <c r="J305" s="5" t="n">
        <v>3</v>
      </c>
    </row>
    <row r="306" customFormat="false" ht="23.85" hidden="false" customHeight="false" outlineLevel="0" collapsed="false">
      <c r="A306" s="5" t="s">
        <v>683</v>
      </c>
      <c r="B306" s="5" t="s">
        <v>24</v>
      </c>
      <c r="C306" s="5" t="s">
        <v>25</v>
      </c>
      <c r="D306" s="5" t="s">
        <v>684</v>
      </c>
      <c r="E306" s="5" t="s">
        <v>685</v>
      </c>
      <c r="F306" s="5" t="s">
        <v>173</v>
      </c>
      <c r="G306" s="5" t="n">
        <f aca="false">LEN(TRIM(D306))-LEN(SUBSTITUTE(TRIM(D306)," ",""))+1</f>
        <v>41</v>
      </c>
      <c r="H306" s="5" t="str">
        <f aca="false">IF(G306&lt;40,"short",IF(G306&lt;100,"medium",IF(G306&lt;=200,"long","very long")))</f>
        <v>medium</v>
      </c>
      <c r="I306" s="5" t="s">
        <v>29</v>
      </c>
      <c r="J306" s="5" t="n">
        <v>3</v>
      </c>
    </row>
    <row r="307" customFormat="false" ht="35.05" hidden="false" customHeight="false" outlineLevel="0" collapsed="false">
      <c r="A307" s="5" t="s">
        <v>686</v>
      </c>
      <c r="B307" s="5" t="s">
        <v>24</v>
      </c>
      <c r="C307" s="5" t="s">
        <v>25</v>
      </c>
      <c r="D307" s="5" t="s">
        <v>687</v>
      </c>
      <c r="E307" s="5" t="s">
        <v>414</v>
      </c>
      <c r="F307" s="5" t="s">
        <v>173</v>
      </c>
      <c r="G307" s="5" t="n">
        <f aca="false">LEN(TRIM(D307))-LEN(SUBSTITUTE(TRIM(D307)," ",""))+1</f>
        <v>51</v>
      </c>
      <c r="H307" s="5" t="str">
        <f aca="false">IF(G307&lt;40,"short",IF(G307&lt;100,"medium",IF(G307&lt;=200,"long","very long")))</f>
        <v>medium</v>
      </c>
      <c r="I307" s="5" t="s">
        <v>29</v>
      </c>
      <c r="J307" s="5" t="n">
        <v>3</v>
      </c>
    </row>
    <row r="308" customFormat="false" ht="35.05" hidden="false" customHeight="false" outlineLevel="0" collapsed="false">
      <c r="A308" s="5" t="s">
        <v>688</v>
      </c>
      <c r="B308" s="5" t="s">
        <v>24</v>
      </c>
      <c r="C308" s="5" t="s">
        <v>25</v>
      </c>
      <c r="D308" s="5" t="s">
        <v>689</v>
      </c>
      <c r="E308" s="5" t="s">
        <v>238</v>
      </c>
      <c r="F308" s="5" t="s">
        <v>173</v>
      </c>
      <c r="G308" s="5" t="n">
        <f aca="false">LEN(TRIM(D308))-LEN(SUBSTITUTE(TRIM(D308)," ",""))+1</f>
        <v>46</v>
      </c>
      <c r="H308" s="5" t="str">
        <f aca="false">IF(G308&lt;40,"short",IF(G308&lt;100,"medium",IF(G308&lt;=200,"long","very long")))</f>
        <v>medium</v>
      </c>
      <c r="I308" s="5" t="s">
        <v>29</v>
      </c>
      <c r="J308" s="5" t="n">
        <v>3</v>
      </c>
    </row>
    <row r="309" customFormat="false" ht="57.45" hidden="false" customHeight="false" outlineLevel="0" collapsed="false">
      <c r="A309" s="5" t="s">
        <v>690</v>
      </c>
      <c r="B309" s="5" t="s">
        <v>24</v>
      </c>
      <c r="C309" s="5" t="s">
        <v>25</v>
      </c>
      <c r="D309" s="5" t="s">
        <v>691</v>
      </c>
      <c r="E309" s="5" t="s">
        <v>692</v>
      </c>
      <c r="F309" s="5" t="s">
        <v>173</v>
      </c>
      <c r="G309" s="5" t="n">
        <f aca="false">LEN(TRIM(D309))-LEN(SUBSTITUTE(TRIM(D309)," ",""))+1</f>
        <v>107</v>
      </c>
      <c r="H309" s="5" t="str">
        <f aca="false">IF(G309&lt;40,"short",IF(G309&lt;100,"medium",IF(G309&lt;=200,"long","very long")))</f>
        <v>long</v>
      </c>
      <c r="I309" s="5" t="s">
        <v>29</v>
      </c>
      <c r="J309" s="5" t="n">
        <v>3</v>
      </c>
    </row>
    <row r="310" customFormat="false" ht="57.45" hidden="false" customHeight="false" outlineLevel="0" collapsed="false">
      <c r="A310" s="5" t="s">
        <v>693</v>
      </c>
      <c r="B310" s="5" t="s">
        <v>24</v>
      </c>
      <c r="C310" s="5" t="s">
        <v>25</v>
      </c>
      <c r="D310" s="5" t="s">
        <v>694</v>
      </c>
      <c r="E310" s="5" t="s">
        <v>424</v>
      </c>
      <c r="F310" s="5" t="s">
        <v>173</v>
      </c>
      <c r="G310" s="5" t="n">
        <f aca="false">LEN(TRIM(D310))-LEN(SUBSTITUTE(TRIM(D310)," ",""))+1</f>
        <v>91</v>
      </c>
      <c r="H310" s="5" t="str">
        <f aca="false">IF(G310&lt;40,"short",IF(G310&lt;100,"medium",IF(G310&lt;=200,"long","very long")))</f>
        <v>medium</v>
      </c>
      <c r="I310" s="5" t="s">
        <v>29</v>
      </c>
      <c r="J310" s="5" t="n">
        <v>3</v>
      </c>
    </row>
    <row r="311" customFormat="false" ht="23.85" hidden="false" customHeight="false" outlineLevel="0" collapsed="false">
      <c r="A311" s="5" t="s">
        <v>695</v>
      </c>
      <c r="B311" s="5" t="s">
        <v>24</v>
      </c>
      <c r="C311" s="5" t="s">
        <v>25</v>
      </c>
      <c r="D311" s="5" t="s">
        <v>696</v>
      </c>
      <c r="E311" s="5" t="s">
        <v>697</v>
      </c>
      <c r="F311" s="5" t="s">
        <v>173</v>
      </c>
      <c r="G311" s="5" t="n">
        <f aca="false">LEN(TRIM(D311))-LEN(SUBSTITUTE(TRIM(D311)," ",""))+1</f>
        <v>35</v>
      </c>
      <c r="H311" s="5" t="str">
        <f aca="false">IF(G311&lt;40,"short",IF(G311&lt;100,"medium",IF(G311&lt;=200,"long","very long")))</f>
        <v>short</v>
      </c>
      <c r="I311" s="5" t="s">
        <v>29</v>
      </c>
      <c r="J311" s="5" t="n">
        <v>3</v>
      </c>
    </row>
    <row r="312" customFormat="false" ht="57.45" hidden="false" customHeight="false" outlineLevel="0" collapsed="false">
      <c r="A312" s="5" t="s">
        <v>698</v>
      </c>
      <c r="B312" s="5" t="s">
        <v>24</v>
      </c>
      <c r="C312" s="5" t="s">
        <v>25</v>
      </c>
      <c r="D312" s="5" t="s">
        <v>699</v>
      </c>
      <c r="E312" s="5" t="s">
        <v>213</v>
      </c>
      <c r="F312" s="5" t="s">
        <v>173</v>
      </c>
      <c r="G312" s="5" t="n">
        <f aca="false">LEN(TRIM(D312))-LEN(SUBSTITUTE(TRIM(D312)," ",""))+1</f>
        <v>92</v>
      </c>
      <c r="H312" s="5" t="str">
        <f aca="false">IF(G312&lt;40,"short",IF(G312&lt;100,"medium",IF(G312&lt;=200,"long","very long")))</f>
        <v>medium</v>
      </c>
      <c r="I312" s="5" t="s">
        <v>29</v>
      </c>
      <c r="J312" s="5" t="n">
        <v>3</v>
      </c>
    </row>
    <row r="313" customFormat="false" ht="57.45" hidden="false" customHeight="false" outlineLevel="0" collapsed="false">
      <c r="A313" s="5" t="s">
        <v>700</v>
      </c>
      <c r="B313" s="5" t="s">
        <v>24</v>
      </c>
      <c r="C313" s="5" t="s">
        <v>25</v>
      </c>
      <c r="D313" s="5" t="s">
        <v>701</v>
      </c>
      <c r="E313" s="5" t="s">
        <v>238</v>
      </c>
      <c r="F313" s="5" t="s">
        <v>173</v>
      </c>
      <c r="G313" s="5" t="n">
        <f aca="false">LEN(TRIM(D313))-LEN(SUBSTITUTE(TRIM(D313)," ",""))+1</f>
        <v>109</v>
      </c>
      <c r="H313" s="5" t="str">
        <f aca="false">IF(G313&lt;40,"short",IF(G313&lt;100,"medium",IF(G313&lt;=200,"long","very long")))</f>
        <v>long</v>
      </c>
      <c r="I313" s="5" t="s">
        <v>29</v>
      </c>
      <c r="J313" s="5" t="n">
        <v>3</v>
      </c>
    </row>
    <row r="314" customFormat="false" ht="57.45" hidden="false" customHeight="false" outlineLevel="0" collapsed="false">
      <c r="A314" s="5" t="s">
        <v>702</v>
      </c>
      <c r="B314" s="5" t="s">
        <v>24</v>
      </c>
      <c r="C314" s="5" t="s">
        <v>25</v>
      </c>
      <c r="D314" s="5" t="s">
        <v>703</v>
      </c>
      <c r="E314" s="5" t="s">
        <v>190</v>
      </c>
      <c r="F314" s="5" t="s">
        <v>173</v>
      </c>
      <c r="G314" s="5" t="n">
        <f aca="false">LEN(TRIM(D314))-LEN(SUBSTITUTE(TRIM(D314)," ",""))+1</f>
        <v>99</v>
      </c>
      <c r="H314" s="5" t="str">
        <f aca="false">IF(G314&lt;40,"short",IF(G314&lt;100,"medium",IF(G314&lt;=200,"long","very long")))</f>
        <v>medium</v>
      </c>
      <c r="I314" s="5" t="s">
        <v>29</v>
      </c>
      <c r="J314" s="5" t="n">
        <v>3</v>
      </c>
    </row>
    <row r="315" customFormat="false" ht="46.25" hidden="false" customHeight="false" outlineLevel="0" collapsed="false">
      <c r="A315" s="5" t="s">
        <v>704</v>
      </c>
      <c r="B315" s="5" t="s">
        <v>24</v>
      </c>
      <c r="C315" s="5" t="s">
        <v>25</v>
      </c>
      <c r="D315" s="5" t="s">
        <v>705</v>
      </c>
      <c r="E315" s="5" t="s">
        <v>199</v>
      </c>
      <c r="F315" s="5" t="s">
        <v>173</v>
      </c>
      <c r="G315" s="5" t="n">
        <f aca="false">LEN(TRIM(D315))-LEN(SUBSTITUTE(TRIM(D315)," ",""))+1</f>
        <v>73</v>
      </c>
      <c r="H315" s="5" t="str">
        <f aca="false">IF(G315&lt;40,"short",IF(G315&lt;100,"medium",IF(G315&lt;=200,"long","very long")))</f>
        <v>medium</v>
      </c>
      <c r="I315" s="5" t="s">
        <v>29</v>
      </c>
      <c r="J315" s="5" t="n">
        <v>3</v>
      </c>
    </row>
    <row r="316" customFormat="false" ht="57.45" hidden="false" customHeight="false" outlineLevel="0" collapsed="false">
      <c r="A316" s="5" t="s">
        <v>706</v>
      </c>
      <c r="B316" s="5" t="s">
        <v>24</v>
      </c>
      <c r="C316" s="5" t="s">
        <v>25</v>
      </c>
      <c r="D316" s="5" t="s">
        <v>707</v>
      </c>
      <c r="E316" s="5" t="s">
        <v>708</v>
      </c>
      <c r="F316" s="5" t="s">
        <v>173</v>
      </c>
      <c r="G316" s="5" t="n">
        <f aca="false">LEN(TRIM(D316))-LEN(SUBSTITUTE(TRIM(D316)," ",""))+1</f>
        <v>83</v>
      </c>
      <c r="H316" s="5" t="str">
        <f aca="false">IF(G316&lt;40,"short",IF(G316&lt;100,"medium",IF(G316&lt;=200,"long","very long")))</f>
        <v>medium</v>
      </c>
      <c r="I316" s="5" t="s">
        <v>29</v>
      </c>
      <c r="J316" s="5" t="n">
        <v>3</v>
      </c>
    </row>
    <row r="317" customFormat="false" ht="23.85" hidden="false" customHeight="false" outlineLevel="0" collapsed="false">
      <c r="A317" s="5" t="s">
        <v>709</v>
      </c>
      <c r="B317" s="5" t="s">
        <v>24</v>
      </c>
      <c r="C317" s="5" t="s">
        <v>25</v>
      </c>
      <c r="D317" s="5" t="s">
        <v>710</v>
      </c>
      <c r="E317" s="5" t="s">
        <v>711</v>
      </c>
      <c r="F317" s="5" t="s">
        <v>173</v>
      </c>
      <c r="G317" s="5" t="n">
        <f aca="false">LEN(TRIM(D317))-LEN(SUBSTITUTE(TRIM(D317)," ",""))+1</f>
        <v>40</v>
      </c>
      <c r="H317" s="5" t="str">
        <f aca="false">IF(G317&lt;40,"short",IF(G317&lt;100,"medium",IF(G317&lt;=200,"long","very long")))</f>
        <v>medium</v>
      </c>
      <c r="I317" s="5" t="s">
        <v>29</v>
      </c>
      <c r="J317" s="5" t="n">
        <v>3</v>
      </c>
    </row>
    <row r="318" customFormat="false" ht="57.45" hidden="false" customHeight="false" outlineLevel="0" collapsed="false">
      <c r="A318" s="5" t="s">
        <v>712</v>
      </c>
      <c r="B318" s="5" t="s">
        <v>24</v>
      </c>
      <c r="C318" s="5" t="s">
        <v>25</v>
      </c>
      <c r="D318" s="5" t="s">
        <v>713</v>
      </c>
      <c r="E318" s="5" t="s">
        <v>205</v>
      </c>
      <c r="F318" s="5" t="s">
        <v>173</v>
      </c>
      <c r="G318" s="5" t="n">
        <f aca="false">LEN(TRIM(D318))-LEN(SUBSTITUTE(TRIM(D318)," ",""))+1</f>
        <v>84</v>
      </c>
      <c r="H318" s="5" t="str">
        <f aca="false">IF(G318&lt;40,"short",IF(G318&lt;100,"medium",IF(G318&lt;=200,"long","very long")))</f>
        <v>medium</v>
      </c>
      <c r="I318" s="5" t="s">
        <v>29</v>
      </c>
      <c r="J318" s="5" t="n">
        <v>3</v>
      </c>
    </row>
    <row r="319" customFormat="false" ht="35.05" hidden="false" customHeight="false" outlineLevel="0" collapsed="false">
      <c r="A319" s="5" t="s">
        <v>714</v>
      </c>
      <c r="B319" s="5" t="s">
        <v>24</v>
      </c>
      <c r="C319" s="5" t="s">
        <v>25</v>
      </c>
      <c r="D319" s="5" t="s">
        <v>715</v>
      </c>
      <c r="E319" s="5" t="s">
        <v>403</v>
      </c>
      <c r="F319" s="5" t="s">
        <v>173</v>
      </c>
      <c r="G319" s="5" t="n">
        <f aca="false">LEN(TRIM(D319))-LEN(SUBSTITUTE(TRIM(D319)," ",""))+1</f>
        <v>51</v>
      </c>
      <c r="H319" s="5" t="str">
        <f aca="false">IF(G319&lt;40,"short",IF(G319&lt;100,"medium",IF(G319&lt;=200,"long","very long")))</f>
        <v>medium</v>
      </c>
      <c r="I319" s="5" t="s">
        <v>29</v>
      </c>
      <c r="J319" s="5" t="n">
        <v>3</v>
      </c>
    </row>
    <row r="320" customFormat="false" ht="46.25" hidden="false" customHeight="false" outlineLevel="0" collapsed="false">
      <c r="A320" s="5" t="s">
        <v>716</v>
      </c>
      <c r="B320" s="5" t="s">
        <v>24</v>
      </c>
      <c r="C320" s="5" t="s">
        <v>25</v>
      </c>
      <c r="D320" s="5" t="s">
        <v>717</v>
      </c>
      <c r="E320" s="5" t="s">
        <v>718</v>
      </c>
      <c r="F320" s="5" t="s">
        <v>173</v>
      </c>
      <c r="G320" s="5" t="n">
        <f aca="false">LEN(TRIM(D320))-LEN(SUBSTITUTE(TRIM(D320)," ",""))+1</f>
        <v>83</v>
      </c>
      <c r="H320" s="5" t="str">
        <f aca="false">IF(G320&lt;40,"short",IF(G320&lt;100,"medium",IF(G320&lt;=200,"long","very long")))</f>
        <v>medium</v>
      </c>
      <c r="I320" s="5" t="s">
        <v>29</v>
      </c>
      <c r="J320" s="5" t="n">
        <v>3</v>
      </c>
    </row>
    <row r="321" customFormat="false" ht="46.25" hidden="false" customHeight="false" outlineLevel="0" collapsed="false">
      <c r="A321" s="5" t="s">
        <v>719</v>
      </c>
      <c r="B321" s="5" t="s">
        <v>24</v>
      </c>
      <c r="C321" s="5" t="s">
        <v>25</v>
      </c>
      <c r="D321" s="5" t="s">
        <v>720</v>
      </c>
      <c r="E321" s="5" t="s">
        <v>185</v>
      </c>
      <c r="F321" s="5" t="s">
        <v>173</v>
      </c>
      <c r="G321" s="5" t="n">
        <f aca="false">LEN(TRIM(D321))-LEN(SUBSTITUTE(TRIM(D321)," ",""))+1</f>
        <v>69</v>
      </c>
      <c r="H321" s="5" t="str">
        <f aca="false">IF(G321&lt;40,"short",IF(G321&lt;100,"medium",IF(G321&lt;=200,"long","very long")))</f>
        <v>medium</v>
      </c>
      <c r="I321" s="5" t="s">
        <v>29</v>
      </c>
      <c r="J321" s="5" t="n">
        <v>3</v>
      </c>
    </row>
    <row r="322" customFormat="false" ht="23.85" hidden="false" customHeight="false" outlineLevel="0" collapsed="false">
      <c r="A322" s="5" t="s">
        <v>721</v>
      </c>
      <c r="B322" s="5" t="s">
        <v>24</v>
      </c>
      <c r="C322" s="5" t="s">
        <v>25</v>
      </c>
      <c r="D322" s="5" t="s">
        <v>722</v>
      </c>
      <c r="E322" s="5" t="s">
        <v>723</v>
      </c>
      <c r="F322" s="5" t="s">
        <v>173</v>
      </c>
      <c r="G322" s="5" t="n">
        <f aca="false">LEN(TRIM(D322))-LEN(SUBSTITUTE(TRIM(D322)," ",""))+1</f>
        <v>35</v>
      </c>
      <c r="H322" s="5" t="str">
        <f aca="false">IF(G322&lt;40,"short",IF(G322&lt;100,"medium",IF(G322&lt;=200,"long","very long")))</f>
        <v>short</v>
      </c>
      <c r="I322" s="5" t="s">
        <v>29</v>
      </c>
      <c r="J322" s="5" t="n">
        <v>3</v>
      </c>
    </row>
    <row r="323" customFormat="false" ht="46.25" hidden="false" customHeight="false" outlineLevel="0" collapsed="false">
      <c r="A323" s="5" t="s">
        <v>724</v>
      </c>
      <c r="B323" s="5" t="s">
        <v>24</v>
      </c>
      <c r="C323" s="5" t="s">
        <v>25</v>
      </c>
      <c r="D323" s="5" t="s">
        <v>725</v>
      </c>
      <c r="E323" s="5" t="s">
        <v>726</v>
      </c>
      <c r="F323" s="5" t="s">
        <v>173</v>
      </c>
      <c r="G323" s="5" t="n">
        <f aca="false">LEN(TRIM(D323))-LEN(SUBSTITUTE(TRIM(D323)," ",""))+1</f>
        <v>79</v>
      </c>
      <c r="H323" s="5" t="str">
        <f aca="false">IF(G323&lt;40,"short",IF(G323&lt;100,"medium",IF(G323&lt;=200,"long","very long")))</f>
        <v>medium</v>
      </c>
      <c r="I323" s="5" t="s">
        <v>29</v>
      </c>
      <c r="J323" s="5" t="n">
        <v>3</v>
      </c>
    </row>
    <row r="324" customFormat="false" ht="35.05" hidden="false" customHeight="false" outlineLevel="0" collapsed="false">
      <c r="A324" s="5" t="s">
        <v>727</v>
      </c>
      <c r="B324" s="5" t="s">
        <v>24</v>
      </c>
      <c r="C324" s="5" t="s">
        <v>25</v>
      </c>
      <c r="D324" s="5" t="s">
        <v>728</v>
      </c>
      <c r="E324" s="5" t="s">
        <v>729</v>
      </c>
      <c r="F324" s="5" t="s">
        <v>173</v>
      </c>
      <c r="G324" s="5" t="n">
        <f aca="false">LEN(TRIM(D324))-LEN(SUBSTITUTE(TRIM(D324)," ",""))+1</f>
        <v>45</v>
      </c>
      <c r="H324" s="5" t="str">
        <f aca="false">IF(G324&lt;40,"short",IF(G324&lt;100,"medium",IF(G324&lt;=200,"long","very long")))</f>
        <v>medium</v>
      </c>
      <c r="I324" s="5" t="s">
        <v>29</v>
      </c>
      <c r="J324" s="5" t="n">
        <v>3</v>
      </c>
    </row>
    <row r="325" customFormat="false" ht="23.85" hidden="false" customHeight="false" outlineLevel="0" collapsed="false">
      <c r="A325" s="5" t="s">
        <v>730</v>
      </c>
      <c r="B325" s="5" t="s">
        <v>24</v>
      </c>
      <c r="C325" s="5" t="s">
        <v>25</v>
      </c>
      <c r="D325" s="5" t="s">
        <v>731</v>
      </c>
      <c r="E325" s="5" t="s">
        <v>176</v>
      </c>
      <c r="F325" s="5" t="s">
        <v>173</v>
      </c>
      <c r="G325" s="5" t="n">
        <f aca="false">LEN(TRIM(D325))-LEN(SUBSTITUTE(TRIM(D325)," ",""))+1</f>
        <v>46</v>
      </c>
      <c r="H325" s="5" t="str">
        <f aca="false">IF(G325&lt;40,"short",IF(G325&lt;100,"medium",IF(G325&lt;=200,"long","very long")))</f>
        <v>medium</v>
      </c>
      <c r="I325" s="5" t="s">
        <v>29</v>
      </c>
      <c r="J325" s="5" t="n">
        <v>3</v>
      </c>
    </row>
    <row r="326" customFormat="false" ht="23.85" hidden="false" customHeight="false" outlineLevel="0" collapsed="false">
      <c r="A326" s="5" t="s">
        <v>732</v>
      </c>
      <c r="B326" s="5" t="s">
        <v>24</v>
      </c>
      <c r="C326" s="5" t="s">
        <v>25</v>
      </c>
      <c r="D326" s="5" t="s">
        <v>733</v>
      </c>
      <c r="E326" s="5" t="s">
        <v>734</v>
      </c>
      <c r="F326" s="5" t="s">
        <v>173</v>
      </c>
      <c r="G326" s="5" t="n">
        <f aca="false">LEN(TRIM(D326))-LEN(SUBSTITUTE(TRIM(D326)," ",""))+1</f>
        <v>41</v>
      </c>
      <c r="H326" s="5" t="str">
        <f aca="false">IF(G326&lt;40,"short",IF(G326&lt;100,"medium",IF(G326&lt;=200,"long","very long")))</f>
        <v>medium</v>
      </c>
      <c r="I326" s="5" t="s">
        <v>29</v>
      </c>
      <c r="J326" s="5" t="n">
        <v>3</v>
      </c>
    </row>
    <row r="327" customFormat="false" ht="46.25" hidden="false" customHeight="false" outlineLevel="0" collapsed="false">
      <c r="A327" s="5" t="s">
        <v>735</v>
      </c>
      <c r="B327" s="5" t="s">
        <v>24</v>
      </c>
      <c r="C327" s="5" t="s">
        <v>25</v>
      </c>
      <c r="D327" s="5" t="s">
        <v>736</v>
      </c>
      <c r="E327" s="5" t="s">
        <v>432</v>
      </c>
      <c r="F327" s="5" t="s">
        <v>173</v>
      </c>
      <c r="G327" s="5" t="n">
        <f aca="false">LEN(TRIM(D327))-LEN(SUBSTITUTE(TRIM(D327)," ",""))+1</f>
        <v>72</v>
      </c>
      <c r="H327" s="5" t="str">
        <f aca="false">IF(G327&lt;40,"short",IF(G327&lt;100,"medium",IF(G327&lt;=200,"long","very long")))</f>
        <v>medium</v>
      </c>
      <c r="I327" s="5" t="s">
        <v>29</v>
      </c>
      <c r="J327" s="5" t="n">
        <v>3</v>
      </c>
    </row>
    <row r="328" customFormat="false" ht="23.85" hidden="false" customHeight="false" outlineLevel="0" collapsed="false">
      <c r="A328" s="5" t="s">
        <v>737</v>
      </c>
      <c r="B328" s="5" t="s">
        <v>24</v>
      </c>
      <c r="C328" s="5" t="s">
        <v>25</v>
      </c>
      <c r="D328" s="5" t="s">
        <v>738</v>
      </c>
      <c r="E328" s="5" t="s">
        <v>739</v>
      </c>
      <c r="F328" s="5" t="s">
        <v>173</v>
      </c>
      <c r="G328" s="5" t="n">
        <f aca="false">LEN(TRIM(D328))-LEN(SUBSTITUTE(TRIM(D328)," ",""))+1</f>
        <v>40</v>
      </c>
      <c r="H328" s="5" t="str">
        <f aca="false">IF(G328&lt;40,"short",IF(G328&lt;100,"medium",IF(G328&lt;=200,"long","very long")))</f>
        <v>medium</v>
      </c>
      <c r="I328" s="5" t="s">
        <v>29</v>
      </c>
      <c r="J328" s="5" t="n">
        <v>3</v>
      </c>
    </row>
    <row r="329" customFormat="false" ht="23.85" hidden="false" customHeight="false" outlineLevel="0" collapsed="false">
      <c r="A329" s="5" t="s">
        <v>740</v>
      </c>
      <c r="B329" s="5" t="s">
        <v>24</v>
      </c>
      <c r="C329" s="5" t="s">
        <v>25</v>
      </c>
      <c r="D329" s="5" t="s">
        <v>741</v>
      </c>
      <c r="E329" s="5" t="s">
        <v>172</v>
      </c>
      <c r="F329" s="5" t="s">
        <v>173</v>
      </c>
      <c r="G329" s="5" t="n">
        <f aca="false">LEN(TRIM(D329))-LEN(SUBSTITUTE(TRIM(D329)," ",""))+1</f>
        <v>37</v>
      </c>
      <c r="H329" s="5" t="str">
        <f aca="false">IF(G329&lt;40,"short",IF(G329&lt;100,"medium",IF(G329&lt;=200,"long","very long")))</f>
        <v>short</v>
      </c>
      <c r="I329" s="5" t="s">
        <v>29</v>
      </c>
      <c r="J329" s="5" t="n">
        <v>3</v>
      </c>
    </row>
    <row r="330" customFormat="false" ht="23.85" hidden="false" customHeight="false" outlineLevel="0" collapsed="false">
      <c r="A330" s="5" t="s">
        <v>742</v>
      </c>
      <c r="B330" s="5" t="s">
        <v>24</v>
      </c>
      <c r="C330" s="5" t="s">
        <v>25</v>
      </c>
      <c r="D330" s="5" t="s">
        <v>743</v>
      </c>
      <c r="E330" s="5" t="s">
        <v>182</v>
      </c>
      <c r="F330" s="5" t="s">
        <v>173</v>
      </c>
      <c r="G330" s="5" t="n">
        <f aca="false">LEN(TRIM(D330))-LEN(SUBSTITUTE(TRIM(D330)," ",""))+1</f>
        <v>40</v>
      </c>
      <c r="H330" s="5" t="str">
        <f aca="false">IF(G330&lt;40,"short",IF(G330&lt;100,"medium",IF(G330&lt;=200,"long","very long")))</f>
        <v>medium</v>
      </c>
      <c r="I330" s="5" t="s">
        <v>29</v>
      </c>
      <c r="J330" s="5" t="n">
        <v>3</v>
      </c>
    </row>
    <row r="331" customFormat="false" ht="23.85" hidden="false" customHeight="false" outlineLevel="0" collapsed="false">
      <c r="A331" s="5" t="s">
        <v>744</v>
      </c>
      <c r="B331" s="5" t="s">
        <v>24</v>
      </c>
      <c r="C331" s="5" t="s">
        <v>25</v>
      </c>
      <c r="D331" s="5" t="s">
        <v>745</v>
      </c>
      <c r="E331" s="5" t="s">
        <v>179</v>
      </c>
      <c r="F331" s="5" t="s">
        <v>228</v>
      </c>
      <c r="G331" s="5" t="n">
        <f aca="false">LEN(TRIM(D331))-LEN(SUBSTITUTE(TRIM(D331)," ",""))+1</f>
        <v>38</v>
      </c>
      <c r="H331" s="5" t="str">
        <f aca="false">IF(G331&lt;40,"short",IF(G331&lt;100,"medium",IF(G331&lt;=200,"long","very long")))</f>
        <v>short</v>
      </c>
      <c r="I331" s="5" t="s">
        <v>29</v>
      </c>
      <c r="J331" s="5" t="n">
        <v>3</v>
      </c>
    </row>
    <row r="332" customFormat="false" ht="23.85" hidden="false" customHeight="false" outlineLevel="0" collapsed="false">
      <c r="A332" s="5" t="s">
        <v>746</v>
      </c>
      <c r="B332" s="5" t="s">
        <v>24</v>
      </c>
      <c r="C332" s="5" t="s">
        <v>25</v>
      </c>
      <c r="D332" s="5" t="s">
        <v>747</v>
      </c>
      <c r="E332" s="5" t="s">
        <v>172</v>
      </c>
      <c r="F332" s="5" t="s">
        <v>228</v>
      </c>
      <c r="G332" s="5" t="n">
        <f aca="false">LEN(TRIM(D332))-LEN(SUBSTITUTE(TRIM(D332)," ",""))+1</f>
        <v>41</v>
      </c>
      <c r="H332" s="5" t="str">
        <f aca="false">IF(G332&lt;40,"short",IF(G332&lt;100,"medium",IF(G332&lt;=200,"long","very long")))</f>
        <v>medium</v>
      </c>
      <c r="I332" s="5" t="s">
        <v>29</v>
      </c>
      <c r="J332" s="5" t="n">
        <v>3</v>
      </c>
    </row>
    <row r="333" customFormat="false" ht="23.85" hidden="false" customHeight="false" outlineLevel="0" collapsed="false">
      <c r="A333" s="5" t="s">
        <v>748</v>
      </c>
      <c r="B333" s="5" t="s">
        <v>24</v>
      </c>
      <c r="C333" s="5" t="s">
        <v>25</v>
      </c>
      <c r="D333" s="5" t="s">
        <v>749</v>
      </c>
      <c r="E333" s="5" t="s">
        <v>176</v>
      </c>
      <c r="F333" s="5" t="s">
        <v>228</v>
      </c>
      <c r="G333" s="5" t="n">
        <f aca="false">LEN(TRIM(D333))-LEN(SUBSTITUTE(TRIM(D333)," ",""))+1</f>
        <v>37</v>
      </c>
      <c r="H333" s="5" t="str">
        <f aca="false">IF(G333&lt;40,"short",IF(G333&lt;100,"medium",IF(G333&lt;=200,"long","very long")))</f>
        <v>short</v>
      </c>
      <c r="I333" s="5" t="s">
        <v>29</v>
      </c>
      <c r="J333" s="5" t="n">
        <v>3</v>
      </c>
    </row>
    <row r="334" customFormat="false" ht="15" hidden="false" customHeight="false" outlineLevel="0" collapsed="false">
      <c r="A334" s="5" t="s">
        <v>750</v>
      </c>
      <c r="B334" s="5" t="s">
        <v>24</v>
      </c>
      <c r="C334" s="5" t="s">
        <v>25</v>
      </c>
      <c r="D334" s="5" t="s">
        <v>751</v>
      </c>
      <c r="E334" s="5" t="s">
        <v>739</v>
      </c>
      <c r="F334" s="5" t="s">
        <v>228</v>
      </c>
      <c r="G334" s="5" t="n">
        <f aca="false">LEN(TRIM(D334))-LEN(SUBSTITUTE(TRIM(D334)," ",""))+1</f>
        <v>21</v>
      </c>
      <c r="H334" s="5" t="str">
        <f aca="false">IF(G334&lt;40,"short",IF(G334&lt;100,"medium",IF(G334&lt;=200,"long","very long")))</f>
        <v>short</v>
      </c>
      <c r="I334" s="5" t="s">
        <v>29</v>
      </c>
      <c r="J334" s="5" t="n">
        <v>3</v>
      </c>
    </row>
    <row r="335" customFormat="false" ht="15" hidden="false" customHeight="false" outlineLevel="0" collapsed="false">
      <c r="A335" s="5" t="s">
        <v>752</v>
      </c>
      <c r="B335" s="5" t="s">
        <v>24</v>
      </c>
      <c r="C335" s="5" t="s">
        <v>25</v>
      </c>
      <c r="D335" s="5" t="s">
        <v>753</v>
      </c>
      <c r="E335" s="5" t="s">
        <v>754</v>
      </c>
      <c r="F335" s="5" t="s">
        <v>228</v>
      </c>
      <c r="G335" s="5" t="n">
        <f aca="false">LEN(TRIM(D335))-LEN(SUBSTITUTE(TRIM(D335)," ",""))+1</f>
        <v>18</v>
      </c>
      <c r="H335" s="5" t="str">
        <f aca="false">IF(G335&lt;40,"short",IF(G335&lt;100,"medium",IF(G335&lt;=200,"long","very long")))</f>
        <v>short</v>
      </c>
      <c r="I335" s="5" t="s">
        <v>29</v>
      </c>
      <c r="J335" s="5" t="n">
        <v>3</v>
      </c>
    </row>
    <row r="336" customFormat="false" ht="23.85" hidden="false" customHeight="false" outlineLevel="0" collapsed="false">
      <c r="A336" s="5" t="s">
        <v>755</v>
      </c>
      <c r="B336" s="5" t="s">
        <v>24</v>
      </c>
      <c r="C336" s="5" t="s">
        <v>25</v>
      </c>
      <c r="D336" s="5" t="s">
        <v>756</v>
      </c>
      <c r="E336" s="5" t="s">
        <v>757</v>
      </c>
      <c r="F336" s="5" t="s">
        <v>228</v>
      </c>
      <c r="G336" s="5" t="n">
        <f aca="false">LEN(TRIM(D336))-LEN(SUBSTITUTE(TRIM(D336)," ",""))+1</f>
        <v>33</v>
      </c>
      <c r="H336" s="5" t="str">
        <f aca="false">IF(G336&lt;40,"short",IF(G336&lt;100,"medium",IF(G336&lt;=200,"long","very long")))</f>
        <v>short</v>
      </c>
      <c r="I336" s="5" t="s">
        <v>29</v>
      </c>
      <c r="J336" s="5" t="n">
        <v>3</v>
      </c>
    </row>
    <row r="337" customFormat="false" ht="15" hidden="false" customHeight="false" outlineLevel="0" collapsed="false">
      <c r="A337" s="5" t="s">
        <v>758</v>
      </c>
      <c r="B337" s="5" t="s">
        <v>24</v>
      </c>
      <c r="C337" s="5" t="s">
        <v>25</v>
      </c>
      <c r="D337" s="5" t="s">
        <v>759</v>
      </c>
      <c r="E337" s="5" t="s">
        <v>182</v>
      </c>
      <c r="F337" s="5" t="s">
        <v>228</v>
      </c>
      <c r="G337" s="5" t="n">
        <f aca="false">LEN(TRIM(D337))-LEN(SUBSTITUTE(TRIM(D337)," ",""))+1</f>
        <v>21</v>
      </c>
      <c r="H337" s="5" t="str">
        <f aca="false">IF(G337&lt;40,"short",IF(G337&lt;100,"medium",IF(G337&lt;=200,"long","very long")))</f>
        <v>short</v>
      </c>
      <c r="I337" s="5" t="s">
        <v>29</v>
      </c>
      <c r="J337" s="5" t="n">
        <v>3</v>
      </c>
    </row>
    <row r="338" customFormat="false" ht="15" hidden="false" customHeight="false" outlineLevel="0" collapsed="false">
      <c r="A338" s="5" t="s">
        <v>760</v>
      </c>
      <c r="B338" s="5" t="s">
        <v>24</v>
      </c>
      <c r="C338" s="5" t="s">
        <v>25</v>
      </c>
      <c r="D338" s="5" t="s">
        <v>761</v>
      </c>
      <c r="E338" s="5" t="s">
        <v>32</v>
      </c>
      <c r="F338" s="5" t="s">
        <v>241</v>
      </c>
      <c r="G338" s="5" t="n">
        <f aca="false">LEN(TRIM(D338))-LEN(SUBSTITUTE(TRIM(D338)," ",""))+1</f>
        <v>4</v>
      </c>
      <c r="H338" s="5" t="str">
        <f aca="false">IF(G338&lt;40,"short",IF(G338&lt;100,"medium",IF(G338&lt;=200,"long","very long")))</f>
        <v>short</v>
      </c>
      <c r="I338" s="5" t="s">
        <v>29</v>
      </c>
      <c r="J338" s="5" t="n">
        <v>3</v>
      </c>
    </row>
    <row r="339" customFormat="false" ht="15" hidden="false" customHeight="false" outlineLevel="0" collapsed="false">
      <c r="A339" s="5" t="s">
        <v>762</v>
      </c>
      <c r="B339" s="5" t="s">
        <v>24</v>
      </c>
      <c r="C339" s="5" t="s">
        <v>25</v>
      </c>
      <c r="D339" s="5" t="s">
        <v>763</v>
      </c>
      <c r="E339" s="5" t="s">
        <v>80</v>
      </c>
      <c r="F339" s="5" t="s">
        <v>241</v>
      </c>
      <c r="G339" s="5" t="n">
        <f aca="false">LEN(TRIM(D339))-LEN(SUBSTITUTE(TRIM(D339)," ",""))+1</f>
        <v>2</v>
      </c>
      <c r="H339" s="5" t="str">
        <f aca="false">IF(G339&lt;40,"short",IF(G339&lt;100,"medium",IF(G339&lt;=200,"long","very long")))</f>
        <v>short</v>
      </c>
      <c r="I339" s="5" t="s">
        <v>29</v>
      </c>
      <c r="J339" s="5" t="n">
        <v>3</v>
      </c>
    </row>
    <row r="340" customFormat="false" ht="15" hidden="false" customHeight="false" outlineLevel="0" collapsed="false">
      <c r="A340" s="5" t="s">
        <v>764</v>
      </c>
      <c r="B340" s="5" t="s">
        <v>24</v>
      </c>
      <c r="C340" s="5" t="s">
        <v>25</v>
      </c>
      <c r="D340" s="5" t="s">
        <v>765</v>
      </c>
      <c r="E340" s="5" t="s">
        <v>43</v>
      </c>
      <c r="F340" s="5" t="s">
        <v>241</v>
      </c>
      <c r="G340" s="5" t="n">
        <f aca="false">LEN(TRIM(D340))-LEN(SUBSTITUTE(TRIM(D340)," ",""))+1</f>
        <v>4</v>
      </c>
      <c r="H340" s="5" t="str">
        <f aca="false">IF(G340&lt;40,"short",IF(G340&lt;100,"medium",IF(G340&lt;=200,"long","very long")))</f>
        <v>short</v>
      </c>
      <c r="I340" s="5" t="s">
        <v>29</v>
      </c>
      <c r="J340" s="5" t="n">
        <v>3</v>
      </c>
    </row>
    <row r="341" customFormat="false" ht="15" hidden="false" customHeight="false" outlineLevel="0" collapsed="false">
      <c r="A341" s="5" t="s">
        <v>766</v>
      </c>
      <c r="B341" s="5" t="s">
        <v>24</v>
      </c>
      <c r="C341" s="5" t="s">
        <v>25</v>
      </c>
      <c r="D341" s="5" t="s">
        <v>767</v>
      </c>
      <c r="E341" s="5" t="s">
        <v>46</v>
      </c>
      <c r="F341" s="5" t="s">
        <v>241</v>
      </c>
      <c r="G341" s="5" t="n">
        <f aca="false">LEN(TRIM(D341))-LEN(SUBSTITUTE(TRIM(D341)," ",""))+1</f>
        <v>4</v>
      </c>
      <c r="H341" s="5" t="str">
        <f aca="false">IF(G341&lt;40,"short",IF(G341&lt;100,"medium",IF(G341&lt;=200,"long","very long")))</f>
        <v>short</v>
      </c>
      <c r="I341" s="5" t="s">
        <v>29</v>
      </c>
      <c r="J341" s="5" t="n">
        <v>3</v>
      </c>
    </row>
    <row r="342" customFormat="false" ht="15" hidden="false" customHeight="false" outlineLevel="0" collapsed="false">
      <c r="A342" s="5" t="s">
        <v>768</v>
      </c>
      <c r="B342" s="5" t="s">
        <v>24</v>
      </c>
      <c r="C342" s="5" t="s">
        <v>25</v>
      </c>
      <c r="D342" s="5" t="s">
        <v>769</v>
      </c>
      <c r="E342" s="5" t="s">
        <v>67</v>
      </c>
      <c r="F342" s="5" t="s">
        <v>241</v>
      </c>
      <c r="G342" s="5" t="n">
        <f aca="false">LEN(TRIM(D342))-LEN(SUBSTITUTE(TRIM(D342)," ",""))+1</f>
        <v>4</v>
      </c>
      <c r="H342" s="5" t="str">
        <f aca="false">IF(G342&lt;40,"short",IF(G342&lt;100,"medium",IF(G342&lt;=200,"long","very long")))</f>
        <v>short</v>
      </c>
      <c r="I342" s="5" t="s">
        <v>29</v>
      </c>
      <c r="J342" s="5" t="n">
        <v>3</v>
      </c>
    </row>
    <row r="343" customFormat="false" ht="15" hidden="false" customHeight="false" outlineLevel="0" collapsed="false">
      <c r="A343" s="5" t="s">
        <v>770</v>
      </c>
      <c r="B343" s="5" t="s">
        <v>24</v>
      </c>
      <c r="C343" s="5" t="s">
        <v>25</v>
      </c>
      <c r="D343" s="5" t="s">
        <v>771</v>
      </c>
      <c r="E343" s="5" t="s">
        <v>38</v>
      </c>
      <c r="F343" s="5" t="s">
        <v>241</v>
      </c>
      <c r="G343" s="5" t="n">
        <f aca="false">LEN(TRIM(D343))-LEN(SUBSTITUTE(TRIM(D343)," ",""))+1</f>
        <v>4</v>
      </c>
      <c r="H343" s="5" t="str">
        <f aca="false">IF(G343&lt;40,"short",IF(G343&lt;100,"medium",IF(G343&lt;=200,"long","very long")))</f>
        <v>short</v>
      </c>
      <c r="I343" s="5" t="s">
        <v>29</v>
      </c>
      <c r="J343" s="5" t="n">
        <v>3</v>
      </c>
    </row>
    <row r="344" customFormat="false" ht="15" hidden="false" customHeight="false" outlineLevel="0" collapsed="false">
      <c r="A344" s="5" t="s">
        <v>772</v>
      </c>
      <c r="B344" s="5" t="s">
        <v>24</v>
      </c>
      <c r="C344" s="5" t="s">
        <v>25</v>
      </c>
      <c r="D344" s="5" t="s">
        <v>773</v>
      </c>
      <c r="E344" s="5" t="s">
        <v>54</v>
      </c>
      <c r="F344" s="5" t="s">
        <v>241</v>
      </c>
      <c r="G344" s="5" t="n">
        <f aca="false">LEN(TRIM(D344))-LEN(SUBSTITUTE(TRIM(D344)," ",""))+1</f>
        <v>2</v>
      </c>
      <c r="H344" s="5" t="str">
        <f aca="false">IF(G344&lt;40,"short",IF(G344&lt;100,"medium",IF(G344&lt;=200,"long","very long")))</f>
        <v>short</v>
      </c>
      <c r="I344" s="5" t="s">
        <v>29</v>
      </c>
      <c r="J344" s="5" t="n">
        <v>3</v>
      </c>
    </row>
    <row r="345" customFormat="false" ht="35.05" hidden="false" customHeight="false" outlineLevel="0" collapsed="false">
      <c r="A345" s="5" t="s">
        <v>774</v>
      </c>
      <c r="B345" s="5" t="s">
        <v>24</v>
      </c>
      <c r="C345" s="5" t="s">
        <v>25</v>
      </c>
      <c r="D345" s="5" t="s">
        <v>775</v>
      </c>
      <c r="E345" s="5" t="s">
        <v>252</v>
      </c>
      <c r="F345" s="5" t="s">
        <v>253</v>
      </c>
      <c r="G345" s="5" t="n">
        <f aca="false">LEN(TRIM(D345))-LEN(SUBSTITUTE(TRIM(D345)," ",""))+1</f>
        <v>57</v>
      </c>
      <c r="H345" s="5" t="str">
        <f aca="false">IF(G345&lt;40,"short",IF(G345&lt;100,"medium",IF(G345&lt;=200,"long","very long")))</f>
        <v>medium</v>
      </c>
      <c r="I345" s="5" t="s">
        <v>29</v>
      </c>
      <c r="J345" s="5" t="n">
        <v>3</v>
      </c>
    </row>
    <row r="346" customFormat="false" ht="35.05" hidden="false" customHeight="false" outlineLevel="0" collapsed="false">
      <c r="A346" s="5" t="s">
        <v>776</v>
      </c>
      <c r="B346" s="5" t="s">
        <v>24</v>
      </c>
      <c r="C346" s="5" t="s">
        <v>25</v>
      </c>
      <c r="D346" s="5" t="s">
        <v>777</v>
      </c>
      <c r="E346" s="5" t="s">
        <v>252</v>
      </c>
      <c r="F346" s="5" t="s">
        <v>253</v>
      </c>
      <c r="G346" s="5" t="n">
        <f aca="false">LEN(TRIM(D346))-LEN(SUBSTITUTE(TRIM(D346)," ",""))+1</f>
        <v>45</v>
      </c>
      <c r="H346" s="5" t="str">
        <f aca="false">IF(G346&lt;40,"short",IF(G346&lt;100,"medium",IF(G346&lt;=200,"long","very long")))</f>
        <v>medium</v>
      </c>
      <c r="I346" s="5" t="s">
        <v>29</v>
      </c>
      <c r="J346" s="5" t="n">
        <v>3</v>
      </c>
    </row>
    <row r="347" customFormat="false" ht="23.85" hidden="false" customHeight="false" outlineLevel="0" collapsed="false">
      <c r="A347" s="5" t="s">
        <v>778</v>
      </c>
      <c r="B347" s="5" t="s">
        <v>24</v>
      </c>
      <c r="C347" s="5" t="s">
        <v>25</v>
      </c>
      <c r="D347" s="5" t="s">
        <v>779</v>
      </c>
      <c r="E347" s="5" t="s">
        <v>252</v>
      </c>
      <c r="F347" s="5" t="s">
        <v>253</v>
      </c>
      <c r="G347" s="5" t="n">
        <f aca="false">LEN(TRIM(D347))-LEN(SUBSTITUTE(TRIM(D347)," ",""))+1</f>
        <v>40</v>
      </c>
      <c r="H347" s="5" t="str">
        <f aca="false">IF(G347&lt;40,"short",IF(G347&lt;100,"medium",IF(G347&lt;=200,"long","very long")))</f>
        <v>medium</v>
      </c>
      <c r="I347" s="5" t="s">
        <v>29</v>
      </c>
      <c r="J347" s="5" t="n">
        <v>3</v>
      </c>
    </row>
    <row r="348" customFormat="false" ht="23.85" hidden="false" customHeight="false" outlineLevel="0" collapsed="false">
      <c r="A348" s="5" t="s">
        <v>780</v>
      </c>
      <c r="B348" s="5" t="s">
        <v>24</v>
      </c>
      <c r="C348" s="5" t="s">
        <v>25</v>
      </c>
      <c r="D348" s="5" t="s">
        <v>781</v>
      </c>
      <c r="E348" s="5" t="s">
        <v>252</v>
      </c>
      <c r="F348" s="5" t="s">
        <v>253</v>
      </c>
      <c r="G348" s="5" t="n">
        <f aca="false">LEN(TRIM(D348))-LEN(SUBSTITUTE(TRIM(D348)," ",""))+1</f>
        <v>40</v>
      </c>
      <c r="H348" s="5" t="str">
        <f aca="false">IF(G348&lt;40,"short",IF(G348&lt;100,"medium",IF(G348&lt;=200,"long","very long")))</f>
        <v>medium</v>
      </c>
      <c r="I348" s="5" t="s">
        <v>29</v>
      </c>
      <c r="J348" s="5" t="n">
        <v>3</v>
      </c>
    </row>
    <row r="349" customFormat="false" ht="23.85" hidden="false" customHeight="false" outlineLevel="0" collapsed="false">
      <c r="A349" s="5" t="s">
        <v>782</v>
      </c>
      <c r="B349" s="5" t="s">
        <v>24</v>
      </c>
      <c r="C349" s="5" t="s">
        <v>25</v>
      </c>
      <c r="D349" s="5" t="s">
        <v>783</v>
      </c>
      <c r="E349" s="5" t="s">
        <v>252</v>
      </c>
      <c r="F349" s="5" t="s">
        <v>253</v>
      </c>
      <c r="G349" s="5" t="n">
        <f aca="false">LEN(TRIM(D349))-LEN(SUBSTITUTE(TRIM(D349)," ",""))+1</f>
        <v>30</v>
      </c>
      <c r="H349" s="5" t="str">
        <f aca="false">IF(G349&lt;40,"short",IF(G349&lt;100,"medium",IF(G349&lt;=200,"long","very long")))</f>
        <v>short</v>
      </c>
      <c r="I349" s="5" t="s">
        <v>29</v>
      </c>
      <c r="J349" s="5" t="n">
        <v>3</v>
      </c>
    </row>
    <row r="350" customFormat="false" ht="23.85" hidden="false" customHeight="false" outlineLevel="0" collapsed="false">
      <c r="A350" s="5" t="s">
        <v>784</v>
      </c>
      <c r="B350" s="5" t="s">
        <v>24</v>
      </c>
      <c r="C350" s="5" t="s">
        <v>25</v>
      </c>
      <c r="D350" s="5" t="s">
        <v>785</v>
      </c>
      <c r="E350" s="5" t="s">
        <v>252</v>
      </c>
      <c r="F350" s="5" t="s">
        <v>253</v>
      </c>
      <c r="G350" s="5" t="n">
        <f aca="false">LEN(TRIM(D350))-LEN(SUBSTITUTE(TRIM(D350)," ",""))+1</f>
        <v>34</v>
      </c>
      <c r="H350" s="5" t="str">
        <f aca="false">IF(G350&lt;40,"short",IF(G350&lt;100,"medium",IF(G350&lt;=200,"long","very long")))</f>
        <v>short</v>
      </c>
      <c r="I350" s="5" t="s">
        <v>29</v>
      </c>
      <c r="J350" s="5" t="n">
        <v>3</v>
      </c>
    </row>
    <row r="351" customFormat="false" ht="23.85" hidden="false" customHeight="false" outlineLevel="0" collapsed="false">
      <c r="A351" s="5" t="s">
        <v>786</v>
      </c>
      <c r="B351" s="5" t="s">
        <v>24</v>
      </c>
      <c r="C351" s="5" t="s">
        <v>25</v>
      </c>
      <c r="D351" s="5" t="s">
        <v>787</v>
      </c>
      <c r="E351" s="5" t="s">
        <v>252</v>
      </c>
      <c r="F351" s="5" t="s">
        <v>253</v>
      </c>
      <c r="G351" s="5" t="n">
        <f aca="false">LEN(TRIM(D351))-LEN(SUBSTITUTE(TRIM(D351)," ",""))+1</f>
        <v>37</v>
      </c>
      <c r="H351" s="5" t="str">
        <f aca="false">IF(G351&lt;40,"short",IF(G351&lt;100,"medium",IF(G351&lt;=200,"long","very long")))</f>
        <v>short</v>
      </c>
      <c r="I351" s="5" t="s">
        <v>29</v>
      </c>
      <c r="J351" s="5" t="n">
        <v>3</v>
      </c>
    </row>
  </sheetData>
  <autoFilter ref="A1:J351"/>
  <dataValidations count="1">
    <dataValidation allowBlank="true" errorStyle="stop" operator="between" showDropDown="false" showErrorMessage="false" showInputMessage="false" sqref="F2:F1000" type="list">
      <formula1>"cause before emotion,cause after emotion,different sentences,implicit cause,two emotions,two causes,one cause,two emotions,emotion only,no emotion"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4"/>
    <col collapsed="false" customWidth="true" hidden="false" outlineLevel="0" max="4" min="4" style="0" width="44"/>
    <col collapsed="false" customWidth="true" hidden="false" outlineLevel="0" max="5" min="5" style="0" width="24"/>
    <col collapsed="false" customWidth="true" hidden="false" outlineLevel="0" max="6" min="6" style="0" width="44"/>
    <col collapsed="false" customWidth="true" hidden="false" outlineLevel="0" max="7" min="7" style="0" width="15"/>
    <col collapsed="false" customWidth="true" hidden="false" outlineLevel="0" max="8" min="8" style="0" width="12"/>
  </cols>
  <sheetData>
    <row r="1" customFormat="false" ht="15" hidden="false" customHeight="false" outlineLevel="0" collapsed="false">
      <c r="A1" s="4" t="s">
        <v>788</v>
      </c>
      <c r="B1" s="4" t="s">
        <v>789</v>
      </c>
      <c r="C1" s="4" t="s">
        <v>790</v>
      </c>
      <c r="D1" s="4" t="s">
        <v>791</v>
      </c>
      <c r="E1" s="4" t="s">
        <v>792</v>
      </c>
      <c r="F1" s="4" t="s">
        <v>793</v>
      </c>
      <c r="G1" s="4" t="s">
        <v>794</v>
      </c>
      <c r="H1" s="4" t="s">
        <v>795</v>
      </c>
    </row>
    <row r="2" customFormat="false" ht="15" hidden="false" customHeight="false" outlineLevel="0" collapsed="false">
      <c r="A2" s="5" t="s">
        <v>23</v>
      </c>
      <c r="B2" s="5" t="s">
        <v>796</v>
      </c>
      <c r="C2" s="5" t="s">
        <v>27</v>
      </c>
      <c r="D2" s="5" t="s">
        <v>797</v>
      </c>
      <c r="E2" s="5" t="s">
        <v>798</v>
      </c>
      <c r="F2" s="5" t="s">
        <v>799</v>
      </c>
      <c r="G2" s="5" t="s">
        <v>800</v>
      </c>
      <c r="H2" s="5" t="s">
        <v>801</v>
      </c>
    </row>
    <row r="3" customFormat="false" ht="15" hidden="false" customHeight="false" outlineLevel="0" collapsed="false">
      <c r="A3" s="5" t="s">
        <v>30</v>
      </c>
      <c r="B3" s="5" t="s">
        <v>802</v>
      </c>
      <c r="C3" s="5" t="s">
        <v>32</v>
      </c>
      <c r="D3" s="5" t="s">
        <v>803</v>
      </c>
      <c r="E3" s="5" t="s">
        <v>804</v>
      </c>
      <c r="F3" s="5" t="s">
        <v>805</v>
      </c>
      <c r="G3" s="5" t="s">
        <v>800</v>
      </c>
      <c r="H3" s="5" t="s">
        <v>801</v>
      </c>
    </row>
    <row r="4" customFormat="false" ht="15" hidden="false" customHeight="false" outlineLevel="0" collapsed="false">
      <c r="A4" s="5" t="s">
        <v>33</v>
      </c>
      <c r="B4" s="5" t="s">
        <v>806</v>
      </c>
      <c r="C4" s="5" t="s">
        <v>35</v>
      </c>
      <c r="D4" s="5" t="s">
        <v>807</v>
      </c>
      <c r="E4" s="5" t="s">
        <v>808</v>
      </c>
      <c r="F4" s="5" t="s">
        <v>809</v>
      </c>
      <c r="G4" s="5" t="s">
        <v>810</v>
      </c>
      <c r="H4" s="5" t="s">
        <v>801</v>
      </c>
    </row>
    <row r="5" customFormat="false" ht="23.85" hidden="false" customHeight="false" outlineLevel="0" collapsed="false">
      <c r="A5" s="5" t="s">
        <v>36</v>
      </c>
      <c r="B5" s="5" t="s">
        <v>811</v>
      </c>
      <c r="C5" s="5" t="s">
        <v>38</v>
      </c>
      <c r="D5" s="5" t="s">
        <v>812</v>
      </c>
      <c r="E5" s="5" t="s">
        <v>813</v>
      </c>
      <c r="F5" s="5" t="s">
        <v>814</v>
      </c>
      <c r="G5" s="5" t="s">
        <v>815</v>
      </c>
      <c r="H5" s="5" t="s">
        <v>801</v>
      </c>
    </row>
    <row r="6" customFormat="false" ht="15" hidden="false" customHeight="false" outlineLevel="0" collapsed="false">
      <c r="A6" s="5" t="s">
        <v>39</v>
      </c>
      <c r="B6" s="5" t="s">
        <v>816</v>
      </c>
      <c r="C6" s="5" t="s">
        <v>35</v>
      </c>
      <c r="D6" s="5" t="s">
        <v>817</v>
      </c>
      <c r="E6" s="5" t="s">
        <v>818</v>
      </c>
      <c r="F6" s="5" t="s">
        <v>819</v>
      </c>
      <c r="G6" s="5" t="s">
        <v>800</v>
      </c>
      <c r="H6" s="5" t="s">
        <v>801</v>
      </c>
    </row>
    <row r="7" customFormat="false" ht="23.85" hidden="false" customHeight="false" outlineLevel="0" collapsed="false">
      <c r="A7" s="5" t="s">
        <v>41</v>
      </c>
      <c r="B7" s="5" t="s">
        <v>820</v>
      </c>
      <c r="C7" s="5" t="s">
        <v>43</v>
      </c>
      <c r="D7" s="5" t="s">
        <v>821</v>
      </c>
      <c r="E7" s="5" t="s">
        <v>822</v>
      </c>
      <c r="F7" s="5" t="s">
        <v>823</v>
      </c>
      <c r="G7" s="5" t="s">
        <v>800</v>
      </c>
      <c r="H7" s="5" t="s">
        <v>801</v>
      </c>
    </row>
    <row r="8" customFormat="false" ht="15" hidden="false" customHeight="false" outlineLevel="0" collapsed="false">
      <c r="A8" s="5" t="s">
        <v>44</v>
      </c>
      <c r="B8" s="5" t="s">
        <v>824</v>
      </c>
      <c r="C8" s="5" t="s">
        <v>46</v>
      </c>
      <c r="D8" s="5" t="s">
        <v>825</v>
      </c>
      <c r="E8" s="5" t="s">
        <v>826</v>
      </c>
      <c r="F8" s="5" t="s">
        <v>827</v>
      </c>
      <c r="G8" s="5" t="s">
        <v>828</v>
      </c>
      <c r="H8" s="5" t="s">
        <v>801</v>
      </c>
    </row>
    <row r="9" customFormat="false" ht="23.85" hidden="false" customHeight="false" outlineLevel="0" collapsed="false">
      <c r="A9" s="5" t="s">
        <v>47</v>
      </c>
      <c r="B9" s="5" t="s">
        <v>829</v>
      </c>
      <c r="C9" s="5" t="s">
        <v>49</v>
      </c>
      <c r="D9" s="5" t="s">
        <v>830</v>
      </c>
      <c r="E9" s="5" t="s">
        <v>831</v>
      </c>
      <c r="F9" s="5" t="s">
        <v>809</v>
      </c>
      <c r="G9" s="5" t="s">
        <v>832</v>
      </c>
      <c r="H9" s="5" t="s">
        <v>801</v>
      </c>
    </row>
    <row r="10" customFormat="false" ht="23.85" hidden="false" customHeight="false" outlineLevel="0" collapsed="false">
      <c r="A10" s="5" t="s">
        <v>50</v>
      </c>
      <c r="B10" s="5" t="s">
        <v>833</v>
      </c>
      <c r="C10" s="5" t="s">
        <v>43</v>
      </c>
      <c r="D10" s="5" t="s">
        <v>834</v>
      </c>
      <c r="E10" s="5" t="s">
        <v>835</v>
      </c>
      <c r="F10" s="5" t="s">
        <v>836</v>
      </c>
      <c r="G10" s="5" t="s">
        <v>800</v>
      </c>
      <c r="H10" s="5" t="s">
        <v>801</v>
      </c>
    </row>
    <row r="11" customFormat="false" ht="23.85" hidden="false" customHeight="false" outlineLevel="0" collapsed="false">
      <c r="A11" s="5" t="s">
        <v>52</v>
      </c>
      <c r="B11" s="5" t="s">
        <v>837</v>
      </c>
      <c r="C11" s="5" t="s">
        <v>54</v>
      </c>
      <c r="D11" s="5" t="s">
        <v>838</v>
      </c>
      <c r="E11" s="5" t="s">
        <v>839</v>
      </c>
      <c r="F11" s="5" t="s">
        <v>840</v>
      </c>
      <c r="G11" s="5" t="s">
        <v>815</v>
      </c>
      <c r="H11" s="5" t="s">
        <v>801</v>
      </c>
    </row>
    <row r="12" customFormat="false" ht="23.85" hidden="false" customHeight="false" outlineLevel="0" collapsed="false">
      <c r="A12" s="5" t="s">
        <v>55</v>
      </c>
      <c r="B12" s="5" t="s">
        <v>841</v>
      </c>
      <c r="C12" s="5" t="s">
        <v>32</v>
      </c>
      <c r="D12" s="5" t="s">
        <v>842</v>
      </c>
      <c r="E12" s="5" t="s">
        <v>843</v>
      </c>
      <c r="F12" s="5" t="s">
        <v>844</v>
      </c>
      <c r="G12" s="5" t="s">
        <v>800</v>
      </c>
      <c r="H12" s="5" t="s">
        <v>801</v>
      </c>
    </row>
    <row r="13" customFormat="false" ht="23.85" hidden="false" customHeight="false" outlineLevel="0" collapsed="false">
      <c r="A13" s="5" t="s">
        <v>57</v>
      </c>
      <c r="B13" s="5" t="s">
        <v>845</v>
      </c>
      <c r="C13" s="5" t="s">
        <v>35</v>
      </c>
      <c r="D13" s="5" t="s">
        <v>846</v>
      </c>
      <c r="E13" s="5" t="s">
        <v>847</v>
      </c>
      <c r="F13" s="5" t="s">
        <v>848</v>
      </c>
      <c r="G13" s="5" t="s">
        <v>810</v>
      </c>
      <c r="H13" s="5" t="s">
        <v>801</v>
      </c>
    </row>
    <row r="14" customFormat="false" ht="23.85" hidden="false" customHeight="false" outlineLevel="0" collapsed="false">
      <c r="A14" s="5" t="s">
        <v>59</v>
      </c>
      <c r="B14" s="5" t="s">
        <v>849</v>
      </c>
      <c r="C14" s="5" t="s">
        <v>32</v>
      </c>
      <c r="D14" s="5" t="s">
        <v>850</v>
      </c>
      <c r="E14" s="5" t="s">
        <v>851</v>
      </c>
      <c r="F14" s="5" t="s">
        <v>809</v>
      </c>
      <c r="G14" s="5" t="s">
        <v>852</v>
      </c>
      <c r="H14" s="5" t="s">
        <v>801</v>
      </c>
    </row>
    <row r="15" customFormat="false" ht="23.85" hidden="false" customHeight="false" outlineLevel="0" collapsed="false">
      <c r="A15" s="5" t="s">
        <v>61</v>
      </c>
      <c r="B15" s="5" t="s">
        <v>853</v>
      </c>
      <c r="C15" s="5" t="s">
        <v>43</v>
      </c>
      <c r="D15" s="5" t="s">
        <v>854</v>
      </c>
      <c r="E15" s="5" t="s">
        <v>855</v>
      </c>
      <c r="F15" s="5" t="s">
        <v>856</v>
      </c>
      <c r="G15" s="5" t="s">
        <v>857</v>
      </c>
      <c r="H15" s="5" t="s">
        <v>801</v>
      </c>
    </row>
    <row r="16" customFormat="false" ht="23.85" hidden="false" customHeight="false" outlineLevel="0" collapsed="false">
      <c r="A16" s="5" t="s">
        <v>63</v>
      </c>
      <c r="B16" s="5" t="s">
        <v>858</v>
      </c>
      <c r="C16" s="5" t="s">
        <v>27</v>
      </c>
      <c r="D16" s="5" t="s">
        <v>859</v>
      </c>
      <c r="E16" s="5" t="s">
        <v>860</v>
      </c>
      <c r="F16" s="5" t="s">
        <v>861</v>
      </c>
      <c r="G16" s="5" t="s">
        <v>862</v>
      </c>
      <c r="H16" s="5" t="s">
        <v>801</v>
      </c>
    </row>
    <row r="17" customFormat="false" ht="23.85" hidden="false" customHeight="false" outlineLevel="0" collapsed="false">
      <c r="A17" s="5" t="s">
        <v>65</v>
      </c>
      <c r="B17" s="5" t="s">
        <v>863</v>
      </c>
      <c r="C17" s="5" t="s">
        <v>67</v>
      </c>
      <c r="D17" s="5" t="s">
        <v>864</v>
      </c>
      <c r="E17" s="5" t="s">
        <v>865</v>
      </c>
      <c r="F17" s="5" t="s">
        <v>866</v>
      </c>
      <c r="G17" s="5" t="s">
        <v>832</v>
      </c>
      <c r="H17" s="5" t="s">
        <v>801</v>
      </c>
    </row>
    <row r="18" customFormat="false" ht="23.85" hidden="false" customHeight="false" outlineLevel="0" collapsed="false">
      <c r="A18" s="5" t="s">
        <v>68</v>
      </c>
      <c r="B18" s="5" t="s">
        <v>867</v>
      </c>
      <c r="C18" s="5" t="s">
        <v>67</v>
      </c>
      <c r="D18" s="5" t="s">
        <v>868</v>
      </c>
      <c r="E18" s="5" t="s">
        <v>869</v>
      </c>
      <c r="F18" s="5" t="s">
        <v>809</v>
      </c>
      <c r="G18" s="5" t="s">
        <v>832</v>
      </c>
      <c r="H18" s="5" t="s">
        <v>801</v>
      </c>
    </row>
    <row r="19" customFormat="false" ht="23.85" hidden="false" customHeight="false" outlineLevel="0" collapsed="false">
      <c r="A19" s="5" t="s">
        <v>70</v>
      </c>
      <c r="B19" s="5" t="s">
        <v>870</v>
      </c>
      <c r="C19" s="5" t="s">
        <v>38</v>
      </c>
      <c r="D19" s="5" t="s">
        <v>871</v>
      </c>
      <c r="E19" s="5" t="s">
        <v>872</v>
      </c>
      <c r="F19" s="5" t="s">
        <v>873</v>
      </c>
      <c r="G19" s="5" t="s">
        <v>800</v>
      </c>
      <c r="H19" s="5" t="s">
        <v>801</v>
      </c>
    </row>
    <row r="20" customFormat="false" ht="23.85" hidden="false" customHeight="false" outlineLevel="0" collapsed="false">
      <c r="A20" s="5" t="s">
        <v>72</v>
      </c>
      <c r="B20" s="5" t="s">
        <v>874</v>
      </c>
      <c r="C20" s="5" t="s">
        <v>38</v>
      </c>
      <c r="D20" s="5" t="s">
        <v>875</v>
      </c>
      <c r="E20" s="5" t="s">
        <v>876</v>
      </c>
      <c r="F20" s="5" t="s">
        <v>877</v>
      </c>
      <c r="G20" s="5" t="s">
        <v>828</v>
      </c>
      <c r="H20" s="5" t="s">
        <v>801</v>
      </c>
    </row>
    <row r="21" customFormat="false" ht="23.85" hidden="false" customHeight="false" outlineLevel="0" collapsed="false">
      <c r="A21" s="5" t="s">
        <v>74</v>
      </c>
      <c r="B21" s="5" t="s">
        <v>878</v>
      </c>
      <c r="C21" s="5" t="s">
        <v>49</v>
      </c>
      <c r="D21" s="5" t="s">
        <v>879</v>
      </c>
      <c r="E21" s="5" t="s">
        <v>880</v>
      </c>
      <c r="F21" s="5" t="s">
        <v>881</v>
      </c>
      <c r="G21" s="5" t="s">
        <v>862</v>
      </c>
      <c r="H21" s="5" t="s">
        <v>801</v>
      </c>
    </row>
    <row r="22" customFormat="false" ht="23.85" hidden="false" customHeight="false" outlineLevel="0" collapsed="false">
      <c r="A22" s="5" t="s">
        <v>76</v>
      </c>
      <c r="B22" s="5" t="s">
        <v>882</v>
      </c>
      <c r="C22" s="5" t="s">
        <v>49</v>
      </c>
      <c r="D22" s="5" t="s">
        <v>883</v>
      </c>
      <c r="E22" s="5" t="s">
        <v>884</v>
      </c>
      <c r="F22" s="5" t="s">
        <v>885</v>
      </c>
      <c r="G22" s="5" t="s">
        <v>815</v>
      </c>
      <c r="H22" s="5" t="s">
        <v>801</v>
      </c>
    </row>
    <row r="23" customFormat="false" ht="23.85" hidden="false" customHeight="false" outlineLevel="0" collapsed="false">
      <c r="A23" s="5" t="s">
        <v>78</v>
      </c>
      <c r="B23" s="5" t="s">
        <v>886</v>
      </c>
      <c r="C23" s="5" t="s">
        <v>80</v>
      </c>
      <c r="D23" s="5" t="s">
        <v>887</v>
      </c>
      <c r="E23" s="5" t="s">
        <v>888</v>
      </c>
      <c r="F23" s="5" t="s">
        <v>889</v>
      </c>
      <c r="G23" s="5" t="s">
        <v>815</v>
      </c>
      <c r="H23" s="5" t="s">
        <v>801</v>
      </c>
    </row>
    <row r="24" customFormat="false" ht="23.85" hidden="false" customHeight="false" outlineLevel="0" collapsed="false">
      <c r="A24" s="5" t="s">
        <v>81</v>
      </c>
      <c r="B24" s="5" t="s">
        <v>890</v>
      </c>
      <c r="C24" s="5" t="s">
        <v>46</v>
      </c>
      <c r="D24" s="5" t="s">
        <v>891</v>
      </c>
      <c r="E24" s="5" t="s">
        <v>892</v>
      </c>
      <c r="F24" s="5" t="s">
        <v>893</v>
      </c>
      <c r="G24" s="5" t="s">
        <v>815</v>
      </c>
      <c r="H24" s="5" t="s">
        <v>801</v>
      </c>
    </row>
    <row r="25" customFormat="false" ht="23.85" hidden="false" customHeight="false" outlineLevel="0" collapsed="false">
      <c r="A25" s="5" t="s">
        <v>83</v>
      </c>
      <c r="B25" s="5" t="s">
        <v>894</v>
      </c>
      <c r="C25" s="5" t="s">
        <v>54</v>
      </c>
      <c r="D25" s="5" t="s">
        <v>895</v>
      </c>
      <c r="E25" s="5" t="s">
        <v>896</v>
      </c>
      <c r="F25" s="5" t="s">
        <v>897</v>
      </c>
      <c r="G25" s="5" t="s">
        <v>852</v>
      </c>
      <c r="H25" s="5" t="s">
        <v>801</v>
      </c>
    </row>
    <row r="26" customFormat="false" ht="23.85" hidden="false" customHeight="false" outlineLevel="0" collapsed="false">
      <c r="A26" s="5" t="s">
        <v>85</v>
      </c>
      <c r="B26" s="5" t="s">
        <v>898</v>
      </c>
      <c r="C26" s="5" t="s">
        <v>43</v>
      </c>
      <c r="D26" s="5" t="s">
        <v>899</v>
      </c>
      <c r="E26" s="5" t="s">
        <v>900</v>
      </c>
      <c r="F26" s="5" t="s">
        <v>809</v>
      </c>
      <c r="G26" s="5" t="s">
        <v>800</v>
      </c>
      <c r="H26" s="5" t="s">
        <v>801</v>
      </c>
    </row>
    <row r="27" customFormat="false" ht="23.85" hidden="false" customHeight="false" outlineLevel="0" collapsed="false">
      <c r="A27" s="5" t="s">
        <v>87</v>
      </c>
      <c r="B27" s="5" t="s">
        <v>901</v>
      </c>
      <c r="C27" s="5" t="s">
        <v>27</v>
      </c>
      <c r="D27" s="5" t="s">
        <v>902</v>
      </c>
      <c r="E27" s="5" t="s">
        <v>903</v>
      </c>
      <c r="F27" s="5" t="s">
        <v>904</v>
      </c>
      <c r="G27" s="5" t="s">
        <v>815</v>
      </c>
      <c r="H27" s="5" t="s">
        <v>801</v>
      </c>
    </row>
    <row r="28" customFormat="false" ht="23.85" hidden="false" customHeight="false" outlineLevel="0" collapsed="false">
      <c r="A28" s="5" t="s">
        <v>90</v>
      </c>
      <c r="B28" s="5" t="s">
        <v>905</v>
      </c>
      <c r="C28" s="5" t="s">
        <v>49</v>
      </c>
      <c r="D28" s="5" t="s">
        <v>906</v>
      </c>
      <c r="E28" s="5" t="s">
        <v>907</v>
      </c>
      <c r="F28" s="5" t="s">
        <v>809</v>
      </c>
      <c r="G28" s="5" t="s">
        <v>800</v>
      </c>
      <c r="H28" s="5" t="s">
        <v>801</v>
      </c>
    </row>
    <row r="29" customFormat="false" ht="15" hidden="false" customHeight="false" outlineLevel="0" collapsed="false">
      <c r="A29" s="5" t="s">
        <v>92</v>
      </c>
      <c r="B29" s="5" t="s">
        <v>908</v>
      </c>
      <c r="C29" s="5" t="s">
        <v>54</v>
      </c>
      <c r="D29" s="5" t="s">
        <v>909</v>
      </c>
      <c r="E29" s="5" t="s">
        <v>910</v>
      </c>
      <c r="F29" s="5" t="s">
        <v>911</v>
      </c>
      <c r="G29" s="5" t="s">
        <v>800</v>
      </c>
      <c r="H29" s="5" t="s">
        <v>801</v>
      </c>
    </row>
    <row r="30" customFormat="false" ht="23.85" hidden="false" customHeight="false" outlineLevel="0" collapsed="false">
      <c r="A30" s="5" t="s">
        <v>94</v>
      </c>
      <c r="B30" s="5" t="s">
        <v>912</v>
      </c>
      <c r="C30" s="5" t="s">
        <v>32</v>
      </c>
      <c r="D30" s="5" t="s">
        <v>913</v>
      </c>
      <c r="E30" s="5" t="s">
        <v>914</v>
      </c>
      <c r="F30" s="5" t="s">
        <v>799</v>
      </c>
      <c r="G30" s="5" t="s">
        <v>832</v>
      </c>
      <c r="H30" s="5" t="s">
        <v>801</v>
      </c>
    </row>
    <row r="31" customFormat="false" ht="15" hidden="false" customHeight="false" outlineLevel="0" collapsed="false">
      <c r="A31" s="5" t="s">
        <v>96</v>
      </c>
      <c r="B31" s="5" t="s">
        <v>915</v>
      </c>
      <c r="C31" s="5" t="s">
        <v>35</v>
      </c>
      <c r="D31" s="5" t="s">
        <v>916</v>
      </c>
      <c r="E31" s="5" t="s">
        <v>917</v>
      </c>
      <c r="F31" s="5" t="s">
        <v>918</v>
      </c>
      <c r="G31" s="5" t="s">
        <v>828</v>
      </c>
      <c r="H31" s="5" t="s">
        <v>801</v>
      </c>
    </row>
    <row r="32" customFormat="false" ht="15" hidden="false" customHeight="false" outlineLevel="0" collapsed="false">
      <c r="A32" s="5" t="s">
        <v>98</v>
      </c>
      <c r="B32" s="5" t="s">
        <v>886</v>
      </c>
      <c r="C32" s="5" t="s">
        <v>80</v>
      </c>
      <c r="D32" s="5" t="s">
        <v>919</v>
      </c>
      <c r="E32" s="5" t="s">
        <v>920</v>
      </c>
      <c r="F32" s="5" t="s">
        <v>921</v>
      </c>
      <c r="G32" s="5" t="s">
        <v>815</v>
      </c>
      <c r="H32" s="5" t="s">
        <v>801</v>
      </c>
    </row>
    <row r="33" customFormat="false" ht="15" hidden="false" customHeight="false" outlineLevel="0" collapsed="false">
      <c r="A33" s="5" t="s">
        <v>100</v>
      </c>
      <c r="B33" s="5" t="s">
        <v>922</v>
      </c>
      <c r="C33" s="5" t="s">
        <v>38</v>
      </c>
      <c r="D33" s="5" t="s">
        <v>923</v>
      </c>
      <c r="E33" s="5" t="s">
        <v>924</v>
      </c>
      <c r="F33" s="5" t="s">
        <v>925</v>
      </c>
      <c r="G33" s="5" t="s">
        <v>828</v>
      </c>
      <c r="H33" s="5" t="s">
        <v>801</v>
      </c>
    </row>
    <row r="34" customFormat="false" ht="15" hidden="false" customHeight="false" outlineLevel="0" collapsed="false">
      <c r="A34" s="5" t="s">
        <v>102</v>
      </c>
      <c r="B34" s="5" t="s">
        <v>926</v>
      </c>
      <c r="C34" s="5" t="s">
        <v>67</v>
      </c>
      <c r="D34" s="5" t="s">
        <v>927</v>
      </c>
      <c r="E34" s="5" t="s">
        <v>928</v>
      </c>
      <c r="F34" s="5" t="s">
        <v>799</v>
      </c>
      <c r="G34" s="5" t="s">
        <v>832</v>
      </c>
      <c r="H34" s="5" t="s">
        <v>801</v>
      </c>
    </row>
    <row r="35" customFormat="false" ht="15" hidden="false" customHeight="false" outlineLevel="0" collapsed="false">
      <c r="A35" s="5" t="s">
        <v>104</v>
      </c>
      <c r="B35" s="5" t="s">
        <v>929</v>
      </c>
      <c r="C35" s="5" t="s">
        <v>43</v>
      </c>
      <c r="D35" s="5" t="s">
        <v>930</v>
      </c>
      <c r="E35" s="5" t="s">
        <v>931</v>
      </c>
      <c r="F35" s="5" t="s">
        <v>932</v>
      </c>
      <c r="G35" s="5" t="s">
        <v>857</v>
      </c>
      <c r="H35" s="5" t="s">
        <v>801</v>
      </c>
    </row>
    <row r="36" customFormat="false" ht="23.85" hidden="false" customHeight="false" outlineLevel="0" collapsed="false">
      <c r="A36" s="5" t="s">
        <v>106</v>
      </c>
      <c r="B36" s="5" t="s">
        <v>933</v>
      </c>
      <c r="C36" s="5" t="s">
        <v>46</v>
      </c>
      <c r="D36" s="5" t="s">
        <v>934</v>
      </c>
      <c r="E36" s="5" t="s">
        <v>935</v>
      </c>
      <c r="F36" s="5" t="s">
        <v>936</v>
      </c>
      <c r="G36" s="5" t="s">
        <v>800</v>
      </c>
      <c r="H36" s="5" t="s">
        <v>801</v>
      </c>
    </row>
    <row r="37" customFormat="false" ht="23.85" hidden="false" customHeight="false" outlineLevel="0" collapsed="false">
      <c r="A37" s="5" t="s">
        <v>108</v>
      </c>
      <c r="B37" s="5" t="s">
        <v>937</v>
      </c>
      <c r="C37" s="5" t="s">
        <v>35</v>
      </c>
      <c r="D37" s="5" t="s">
        <v>938</v>
      </c>
      <c r="E37" s="5" t="s">
        <v>939</v>
      </c>
      <c r="F37" s="5" t="s">
        <v>940</v>
      </c>
      <c r="G37" s="5" t="s">
        <v>810</v>
      </c>
      <c r="H37" s="5" t="s">
        <v>801</v>
      </c>
    </row>
    <row r="38" customFormat="false" ht="15" hidden="false" customHeight="false" outlineLevel="0" collapsed="false">
      <c r="A38" s="5" t="s">
        <v>111</v>
      </c>
      <c r="B38" s="5" t="s">
        <v>941</v>
      </c>
      <c r="C38" s="5" t="s">
        <v>49</v>
      </c>
      <c r="D38" s="5" t="s">
        <v>942</v>
      </c>
      <c r="E38" s="5" t="s">
        <v>943</v>
      </c>
      <c r="F38" s="5" t="s">
        <v>944</v>
      </c>
      <c r="G38" s="5" t="s">
        <v>815</v>
      </c>
      <c r="H38" s="5" t="s">
        <v>801</v>
      </c>
    </row>
    <row r="39" customFormat="false" ht="15" hidden="false" customHeight="false" outlineLevel="0" collapsed="false">
      <c r="A39" s="5" t="s">
        <v>113</v>
      </c>
      <c r="B39" s="5" t="s">
        <v>945</v>
      </c>
      <c r="C39" s="5" t="s">
        <v>80</v>
      </c>
      <c r="D39" s="5" t="s">
        <v>946</v>
      </c>
      <c r="E39" s="5" t="s">
        <v>947</v>
      </c>
      <c r="F39" s="5" t="s">
        <v>809</v>
      </c>
      <c r="G39" s="5" t="s">
        <v>800</v>
      </c>
      <c r="H39" s="5" t="s">
        <v>801</v>
      </c>
    </row>
    <row r="40" customFormat="false" ht="23.85" hidden="false" customHeight="false" outlineLevel="0" collapsed="false">
      <c r="A40" s="5" t="s">
        <v>115</v>
      </c>
      <c r="B40" s="5" t="s">
        <v>948</v>
      </c>
      <c r="C40" s="5" t="s">
        <v>54</v>
      </c>
      <c r="D40" s="5" t="s">
        <v>949</v>
      </c>
      <c r="E40" s="5" t="s">
        <v>950</v>
      </c>
      <c r="F40" s="5" t="s">
        <v>951</v>
      </c>
      <c r="G40" s="5" t="s">
        <v>810</v>
      </c>
      <c r="H40" s="5" t="s">
        <v>801</v>
      </c>
    </row>
    <row r="41" customFormat="false" ht="23.85" hidden="false" customHeight="false" outlineLevel="0" collapsed="false">
      <c r="A41" s="5" t="s">
        <v>117</v>
      </c>
      <c r="B41" s="5" t="s">
        <v>952</v>
      </c>
      <c r="C41" s="5" t="s">
        <v>67</v>
      </c>
      <c r="D41" s="5" t="s">
        <v>953</v>
      </c>
      <c r="E41" s="5" t="s">
        <v>954</v>
      </c>
      <c r="F41" s="5" t="s">
        <v>955</v>
      </c>
      <c r="G41" s="5" t="s">
        <v>832</v>
      </c>
      <c r="H41" s="5" t="s">
        <v>801</v>
      </c>
    </row>
    <row r="42" customFormat="false" ht="15" hidden="false" customHeight="false" outlineLevel="0" collapsed="false">
      <c r="A42" s="5" t="s">
        <v>119</v>
      </c>
      <c r="B42" s="5" t="s">
        <v>956</v>
      </c>
      <c r="C42" s="5" t="s">
        <v>27</v>
      </c>
      <c r="D42" s="5" t="s">
        <v>957</v>
      </c>
      <c r="E42" s="5" t="s">
        <v>958</v>
      </c>
      <c r="F42" s="5" t="s">
        <v>959</v>
      </c>
      <c r="G42" s="5" t="s">
        <v>828</v>
      </c>
      <c r="H42" s="5" t="s">
        <v>801</v>
      </c>
    </row>
    <row r="43" customFormat="false" ht="15" hidden="false" customHeight="false" outlineLevel="0" collapsed="false">
      <c r="A43" s="5" t="s">
        <v>121</v>
      </c>
      <c r="B43" s="5" t="s">
        <v>960</v>
      </c>
      <c r="C43" s="5" t="s">
        <v>54</v>
      </c>
      <c r="D43" s="5" t="s">
        <v>961</v>
      </c>
      <c r="E43" s="5" t="s">
        <v>962</v>
      </c>
      <c r="F43" s="5" t="s">
        <v>963</v>
      </c>
      <c r="G43" s="5" t="s">
        <v>800</v>
      </c>
      <c r="H43" s="5" t="s">
        <v>801</v>
      </c>
    </row>
    <row r="44" customFormat="false" ht="23.85" hidden="false" customHeight="false" outlineLevel="0" collapsed="false">
      <c r="A44" s="5" t="s">
        <v>123</v>
      </c>
      <c r="B44" s="5" t="s">
        <v>964</v>
      </c>
      <c r="C44" s="5" t="s">
        <v>49</v>
      </c>
      <c r="D44" s="5" t="s">
        <v>965</v>
      </c>
      <c r="E44" s="5" t="s">
        <v>966</v>
      </c>
      <c r="F44" s="5" t="s">
        <v>967</v>
      </c>
      <c r="G44" s="5" t="s">
        <v>815</v>
      </c>
      <c r="H44" s="5" t="s">
        <v>801</v>
      </c>
    </row>
    <row r="45" customFormat="false" ht="15" hidden="false" customHeight="false" outlineLevel="0" collapsed="false">
      <c r="A45" s="5" t="s">
        <v>125</v>
      </c>
      <c r="B45" s="5" t="s">
        <v>968</v>
      </c>
      <c r="C45" s="5" t="s">
        <v>49</v>
      </c>
      <c r="D45" s="5" t="s">
        <v>969</v>
      </c>
      <c r="E45" s="5" t="s">
        <v>970</v>
      </c>
      <c r="F45" s="5" t="s">
        <v>809</v>
      </c>
      <c r="G45" s="5" t="s">
        <v>810</v>
      </c>
      <c r="H45" s="5" t="s">
        <v>801</v>
      </c>
    </row>
    <row r="46" customFormat="false" ht="23.85" hidden="false" customHeight="false" outlineLevel="0" collapsed="false">
      <c r="A46" s="5" t="s">
        <v>127</v>
      </c>
      <c r="B46" s="5" t="s">
        <v>971</v>
      </c>
      <c r="C46" s="5" t="s">
        <v>35</v>
      </c>
      <c r="D46" s="5" t="s">
        <v>972</v>
      </c>
      <c r="E46" s="5" t="s">
        <v>973</v>
      </c>
      <c r="F46" s="5" t="s">
        <v>974</v>
      </c>
      <c r="G46" s="5" t="s">
        <v>862</v>
      </c>
      <c r="H46" s="5" t="s">
        <v>801</v>
      </c>
    </row>
    <row r="47" customFormat="false" ht="23.85" hidden="false" customHeight="false" outlineLevel="0" collapsed="false">
      <c r="A47" s="5" t="s">
        <v>129</v>
      </c>
      <c r="B47" s="5" t="s">
        <v>975</v>
      </c>
      <c r="C47" s="5" t="s">
        <v>67</v>
      </c>
      <c r="D47" s="5" t="s">
        <v>976</v>
      </c>
      <c r="E47" s="5" t="s">
        <v>977</v>
      </c>
      <c r="F47" s="5" t="s">
        <v>978</v>
      </c>
      <c r="G47" s="5" t="s">
        <v>852</v>
      </c>
      <c r="H47" s="5" t="s">
        <v>801</v>
      </c>
    </row>
    <row r="48" customFormat="false" ht="15" hidden="false" customHeight="false" outlineLevel="0" collapsed="false">
      <c r="A48" s="5" t="s">
        <v>131</v>
      </c>
      <c r="B48" s="5" t="s">
        <v>979</v>
      </c>
      <c r="C48" s="5" t="s">
        <v>38</v>
      </c>
      <c r="D48" s="5" t="s">
        <v>980</v>
      </c>
      <c r="E48" s="5" t="s">
        <v>981</v>
      </c>
      <c r="F48" s="5" t="s">
        <v>982</v>
      </c>
      <c r="G48" s="5" t="s">
        <v>810</v>
      </c>
      <c r="H48" s="5" t="s">
        <v>801</v>
      </c>
    </row>
    <row r="49" customFormat="false" ht="23.85" hidden="false" customHeight="false" outlineLevel="0" collapsed="false">
      <c r="A49" s="5" t="s">
        <v>133</v>
      </c>
      <c r="B49" s="5" t="s">
        <v>983</v>
      </c>
      <c r="C49" s="5" t="s">
        <v>46</v>
      </c>
      <c r="D49" s="5" t="s">
        <v>984</v>
      </c>
      <c r="E49" s="5" t="s">
        <v>985</v>
      </c>
      <c r="F49" s="5" t="s">
        <v>809</v>
      </c>
      <c r="G49" s="5" t="s">
        <v>800</v>
      </c>
      <c r="H49" s="5" t="s">
        <v>801</v>
      </c>
    </row>
    <row r="50" customFormat="false" ht="23.85" hidden="false" customHeight="false" outlineLevel="0" collapsed="false">
      <c r="A50" s="5" t="s">
        <v>135</v>
      </c>
      <c r="B50" s="5" t="s">
        <v>986</v>
      </c>
      <c r="C50" s="5" t="s">
        <v>54</v>
      </c>
      <c r="D50" s="5" t="s">
        <v>987</v>
      </c>
      <c r="E50" s="5" t="s">
        <v>988</v>
      </c>
      <c r="F50" s="5" t="s">
        <v>989</v>
      </c>
      <c r="G50" s="5" t="s">
        <v>810</v>
      </c>
      <c r="H50" s="5" t="s">
        <v>801</v>
      </c>
    </row>
    <row r="51" customFormat="false" ht="15" hidden="false" customHeight="false" outlineLevel="0" collapsed="false">
      <c r="A51" s="5" t="s">
        <v>137</v>
      </c>
      <c r="B51" s="5" t="s">
        <v>990</v>
      </c>
      <c r="C51" s="5" t="s">
        <v>67</v>
      </c>
      <c r="D51" s="5" t="s">
        <v>991</v>
      </c>
      <c r="E51" s="5" t="s">
        <v>992</v>
      </c>
      <c r="F51" s="5" t="s">
        <v>993</v>
      </c>
      <c r="G51" s="5" t="s">
        <v>828</v>
      </c>
      <c r="H51" s="5" t="s">
        <v>801</v>
      </c>
    </row>
    <row r="52" customFormat="false" ht="15" hidden="false" customHeight="false" outlineLevel="0" collapsed="false">
      <c r="A52" s="5" t="s">
        <v>139</v>
      </c>
      <c r="B52" s="5" t="s">
        <v>994</v>
      </c>
      <c r="C52" s="5" t="s">
        <v>49</v>
      </c>
      <c r="D52" s="5" t="s">
        <v>995</v>
      </c>
      <c r="E52" s="5" t="s">
        <v>996</v>
      </c>
      <c r="F52" s="5" t="s">
        <v>997</v>
      </c>
      <c r="G52" s="5" t="s">
        <v>809</v>
      </c>
      <c r="H52" s="5" t="s">
        <v>801</v>
      </c>
    </row>
    <row r="53" customFormat="false" ht="15" hidden="false" customHeight="false" outlineLevel="0" collapsed="false">
      <c r="A53" s="5" t="s">
        <v>142</v>
      </c>
      <c r="B53" s="5" t="s">
        <v>998</v>
      </c>
      <c r="C53" s="5" t="s">
        <v>49</v>
      </c>
      <c r="D53" s="5" t="s">
        <v>995</v>
      </c>
      <c r="E53" s="5" t="s">
        <v>996</v>
      </c>
      <c r="F53" s="5" t="s">
        <v>823</v>
      </c>
      <c r="G53" s="5" t="s">
        <v>809</v>
      </c>
      <c r="H53" s="5" t="s">
        <v>801</v>
      </c>
    </row>
    <row r="54" customFormat="false" ht="15" hidden="false" customHeight="false" outlineLevel="0" collapsed="false">
      <c r="A54" s="5" t="s">
        <v>144</v>
      </c>
      <c r="B54" s="5" t="s">
        <v>999</v>
      </c>
      <c r="C54" s="5" t="s">
        <v>35</v>
      </c>
      <c r="D54" s="5" t="s">
        <v>995</v>
      </c>
      <c r="E54" s="5" t="s">
        <v>996</v>
      </c>
      <c r="F54" s="5" t="s">
        <v>1000</v>
      </c>
      <c r="G54" s="5" t="s">
        <v>809</v>
      </c>
      <c r="H54" s="5" t="s">
        <v>801</v>
      </c>
    </row>
    <row r="55" customFormat="false" ht="15" hidden="false" customHeight="false" outlineLevel="0" collapsed="false">
      <c r="A55" s="5" t="s">
        <v>146</v>
      </c>
      <c r="B55" s="5" t="s">
        <v>1001</v>
      </c>
      <c r="C55" s="5" t="s">
        <v>54</v>
      </c>
      <c r="D55" s="5" t="s">
        <v>995</v>
      </c>
      <c r="E55" s="5" t="s">
        <v>996</v>
      </c>
      <c r="F55" s="5" t="s">
        <v>799</v>
      </c>
      <c r="G55" s="5" t="s">
        <v>809</v>
      </c>
      <c r="H55" s="5" t="s">
        <v>801</v>
      </c>
    </row>
    <row r="56" customFormat="false" ht="15" hidden="false" customHeight="false" outlineLevel="0" collapsed="false">
      <c r="A56" s="5" t="s">
        <v>148</v>
      </c>
      <c r="B56" s="5" t="s">
        <v>1002</v>
      </c>
      <c r="C56" s="5" t="s">
        <v>27</v>
      </c>
      <c r="D56" s="5" t="s">
        <v>995</v>
      </c>
      <c r="E56" s="5" t="s">
        <v>996</v>
      </c>
      <c r="F56" s="5" t="s">
        <v>799</v>
      </c>
      <c r="G56" s="5" t="s">
        <v>809</v>
      </c>
      <c r="H56" s="5" t="s">
        <v>801</v>
      </c>
    </row>
    <row r="57" customFormat="false" ht="15" hidden="false" customHeight="false" outlineLevel="0" collapsed="false">
      <c r="A57" s="5" t="s">
        <v>150</v>
      </c>
      <c r="B57" s="5" t="s">
        <v>1003</v>
      </c>
      <c r="C57" s="5" t="s">
        <v>43</v>
      </c>
      <c r="D57" s="5" t="s">
        <v>995</v>
      </c>
      <c r="E57" s="5" t="s">
        <v>996</v>
      </c>
      <c r="F57" s="5" t="s">
        <v>809</v>
      </c>
      <c r="G57" s="5" t="s">
        <v>809</v>
      </c>
      <c r="H57" s="5" t="s">
        <v>801</v>
      </c>
    </row>
    <row r="58" customFormat="false" ht="15" hidden="false" customHeight="false" outlineLevel="0" collapsed="false">
      <c r="A58" s="5" t="s">
        <v>152</v>
      </c>
      <c r="B58" s="5" t="s">
        <v>1004</v>
      </c>
      <c r="C58" s="5" t="s">
        <v>67</v>
      </c>
      <c r="D58" s="5" t="s">
        <v>995</v>
      </c>
      <c r="E58" s="5" t="s">
        <v>996</v>
      </c>
      <c r="F58" s="5" t="s">
        <v>809</v>
      </c>
      <c r="G58" s="5" t="s">
        <v>809</v>
      </c>
      <c r="H58" s="5" t="s">
        <v>801</v>
      </c>
    </row>
    <row r="59" customFormat="false" ht="23.85" hidden="false" customHeight="false" outlineLevel="0" collapsed="false">
      <c r="A59" s="5" t="s">
        <v>154</v>
      </c>
      <c r="B59" s="5" t="s">
        <v>1005</v>
      </c>
      <c r="C59" s="5" t="s">
        <v>27</v>
      </c>
      <c r="D59" s="5" t="s">
        <v>995</v>
      </c>
      <c r="E59" s="5" t="s">
        <v>996</v>
      </c>
      <c r="F59" s="5" t="s">
        <v>1006</v>
      </c>
      <c r="G59" s="5" t="s">
        <v>809</v>
      </c>
      <c r="H59" s="5" t="s">
        <v>801</v>
      </c>
    </row>
    <row r="60" customFormat="false" ht="15" hidden="false" customHeight="false" outlineLevel="0" collapsed="false">
      <c r="A60" s="5" t="s">
        <v>156</v>
      </c>
      <c r="B60" s="5" t="s">
        <v>1007</v>
      </c>
      <c r="C60" s="5" t="s">
        <v>49</v>
      </c>
      <c r="D60" s="5" t="s">
        <v>995</v>
      </c>
      <c r="E60" s="5" t="s">
        <v>996</v>
      </c>
      <c r="F60" s="5" t="s">
        <v>823</v>
      </c>
      <c r="G60" s="5" t="s">
        <v>809</v>
      </c>
      <c r="H60" s="5" t="s">
        <v>801</v>
      </c>
    </row>
    <row r="61" customFormat="false" ht="23.85" hidden="false" customHeight="false" outlineLevel="0" collapsed="false">
      <c r="A61" s="5" t="s">
        <v>158</v>
      </c>
      <c r="B61" s="5" t="s">
        <v>1008</v>
      </c>
      <c r="C61" s="5" t="s">
        <v>54</v>
      </c>
      <c r="D61" s="5" t="s">
        <v>995</v>
      </c>
      <c r="E61" s="5" t="s">
        <v>996</v>
      </c>
      <c r="F61" s="5" t="s">
        <v>799</v>
      </c>
      <c r="G61" s="5" t="s">
        <v>809</v>
      </c>
      <c r="H61" s="5" t="s">
        <v>801</v>
      </c>
    </row>
    <row r="62" customFormat="false" ht="15" hidden="false" customHeight="false" outlineLevel="0" collapsed="false">
      <c r="A62" s="5" t="s">
        <v>160</v>
      </c>
      <c r="B62" s="5" t="s">
        <v>1009</v>
      </c>
      <c r="C62" s="5" t="s">
        <v>32</v>
      </c>
      <c r="D62" s="5" t="s">
        <v>995</v>
      </c>
      <c r="E62" s="5" t="s">
        <v>996</v>
      </c>
      <c r="F62" s="5" t="s">
        <v>823</v>
      </c>
      <c r="G62" s="5" t="s">
        <v>809</v>
      </c>
      <c r="H62" s="5" t="s">
        <v>801</v>
      </c>
    </row>
    <row r="63" customFormat="false" ht="15" hidden="false" customHeight="false" outlineLevel="0" collapsed="false">
      <c r="A63" s="5" t="s">
        <v>162</v>
      </c>
      <c r="B63" s="5" t="s">
        <v>1010</v>
      </c>
      <c r="C63" s="5" t="s">
        <v>38</v>
      </c>
      <c r="D63" s="5" t="s">
        <v>995</v>
      </c>
      <c r="E63" s="5" t="s">
        <v>996</v>
      </c>
      <c r="F63" s="5" t="s">
        <v>799</v>
      </c>
      <c r="G63" s="5" t="s">
        <v>809</v>
      </c>
      <c r="H63" s="5" t="s">
        <v>801</v>
      </c>
    </row>
    <row r="64" customFormat="false" ht="23.85" hidden="false" customHeight="false" outlineLevel="0" collapsed="false">
      <c r="A64" s="5" t="s">
        <v>164</v>
      </c>
      <c r="B64" s="5" t="s">
        <v>1011</v>
      </c>
      <c r="C64" s="5" t="s">
        <v>80</v>
      </c>
      <c r="D64" s="5" t="s">
        <v>995</v>
      </c>
      <c r="E64" s="5" t="s">
        <v>996</v>
      </c>
      <c r="F64" s="5" t="s">
        <v>809</v>
      </c>
      <c r="G64" s="5" t="s">
        <v>809</v>
      </c>
      <c r="H64" s="5" t="s">
        <v>801</v>
      </c>
    </row>
    <row r="65" customFormat="false" ht="15" hidden="false" customHeight="false" outlineLevel="0" collapsed="false">
      <c r="A65" s="5" t="s">
        <v>166</v>
      </c>
      <c r="B65" s="5" t="s">
        <v>1012</v>
      </c>
      <c r="C65" s="5" t="s">
        <v>43</v>
      </c>
      <c r="D65" s="5" t="s">
        <v>995</v>
      </c>
      <c r="E65" s="5" t="s">
        <v>996</v>
      </c>
      <c r="F65" s="5" t="s">
        <v>799</v>
      </c>
      <c r="G65" s="5" t="s">
        <v>809</v>
      </c>
      <c r="H65" s="5" t="s">
        <v>801</v>
      </c>
    </row>
    <row r="66" customFormat="false" ht="15" hidden="false" customHeight="false" outlineLevel="0" collapsed="false">
      <c r="A66" s="5" t="s">
        <v>168</v>
      </c>
      <c r="B66" s="5" t="s">
        <v>1013</v>
      </c>
      <c r="C66" s="5" t="s">
        <v>35</v>
      </c>
      <c r="D66" s="5" t="s">
        <v>995</v>
      </c>
      <c r="E66" s="5" t="s">
        <v>996</v>
      </c>
      <c r="F66" s="5" t="s">
        <v>1014</v>
      </c>
      <c r="G66" s="5" t="s">
        <v>809</v>
      </c>
      <c r="H66" s="5" t="s">
        <v>801</v>
      </c>
    </row>
    <row r="67" customFormat="false" ht="23.85" hidden="false" customHeight="false" outlineLevel="0" collapsed="false">
      <c r="A67" s="5" t="s">
        <v>170</v>
      </c>
      <c r="B67" s="5" t="s">
        <v>1015</v>
      </c>
      <c r="C67" s="5" t="s">
        <v>27</v>
      </c>
      <c r="D67" s="5" t="s">
        <v>1016</v>
      </c>
      <c r="E67" s="5" t="s">
        <v>1017</v>
      </c>
      <c r="F67" s="5" t="s">
        <v>1018</v>
      </c>
      <c r="G67" s="5" t="s">
        <v>800</v>
      </c>
      <c r="H67" s="5" t="s">
        <v>801</v>
      </c>
    </row>
    <row r="68" customFormat="false" ht="23.85" hidden="false" customHeight="false" outlineLevel="0" collapsed="false">
      <c r="A68" s="5" t="s">
        <v>170</v>
      </c>
      <c r="B68" s="5" t="s">
        <v>1019</v>
      </c>
      <c r="C68" s="5" t="s">
        <v>54</v>
      </c>
      <c r="D68" s="5" t="s">
        <v>1020</v>
      </c>
      <c r="E68" s="5" t="s">
        <v>1021</v>
      </c>
      <c r="F68" s="5" t="s">
        <v>1022</v>
      </c>
      <c r="G68" s="5" t="s">
        <v>832</v>
      </c>
      <c r="H68" s="5" t="s">
        <v>801</v>
      </c>
    </row>
    <row r="69" customFormat="false" ht="15" hidden="false" customHeight="false" outlineLevel="0" collapsed="false">
      <c r="A69" s="5" t="s">
        <v>174</v>
      </c>
      <c r="B69" s="5" t="s">
        <v>1023</v>
      </c>
      <c r="C69" s="5" t="s">
        <v>32</v>
      </c>
      <c r="D69" s="5" t="s">
        <v>1024</v>
      </c>
      <c r="E69" s="5" t="s">
        <v>1025</v>
      </c>
      <c r="F69" s="5" t="s">
        <v>1026</v>
      </c>
      <c r="G69" s="5" t="s">
        <v>852</v>
      </c>
      <c r="H69" s="5" t="s">
        <v>801</v>
      </c>
    </row>
    <row r="70" customFormat="false" ht="15" hidden="false" customHeight="false" outlineLevel="0" collapsed="false">
      <c r="A70" s="5" t="s">
        <v>174</v>
      </c>
      <c r="B70" s="5" t="s">
        <v>1027</v>
      </c>
      <c r="C70" s="5" t="s">
        <v>49</v>
      </c>
      <c r="D70" s="5" t="s">
        <v>1028</v>
      </c>
      <c r="E70" s="5" t="s">
        <v>1029</v>
      </c>
      <c r="F70" s="5" t="s">
        <v>1022</v>
      </c>
      <c r="G70" s="5" t="s">
        <v>828</v>
      </c>
      <c r="H70" s="5" t="s">
        <v>801</v>
      </c>
    </row>
    <row r="71" customFormat="false" ht="15" hidden="false" customHeight="false" outlineLevel="0" collapsed="false">
      <c r="A71" s="5" t="s">
        <v>177</v>
      </c>
      <c r="B71" s="5" t="s">
        <v>1030</v>
      </c>
      <c r="C71" s="5" t="s">
        <v>27</v>
      </c>
      <c r="D71" s="5" t="s">
        <v>1031</v>
      </c>
      <c r="E71" s="5" t="s">
        <v>1032</v>
      </c>
      <c r="F71" s="5" t="s">
        <v>1033</v>
      </c>
      <c r="G71" s="5" t="s">
        <v>800</v>
      </c>
      <c r="H71" s="5" t="s">
        <v>801</v>
      </c>
    </row>
    <row r="72" customFormat="false" ht="15" hidden="false" customHeight="false" outlineLevel="0" collapsed="false">
      <c r="A72" s="5" t="s">
        <v>177</v>
      </c>
      <c r="B72" s="5" t="s">
        <v>1034</v>
      </c>
      <c r="C72" s="5" t="s">
        <v>49</v>
      </c>
      <c r="D72" s="5" t="s">
        <v>1035</v>
      </c>
      <c r="E72" s="5" t="s">
        <v>1036</v>
      </c>
      <c r="F72" s="5" t="s">
        <v>1022</v>
      </c>
      <c r="G72" s="5" t="s">
        <v>828</v>
      </c>
      <c r="H72" s="5" t="s">
        <v>801</v>
      </c>
    </row>
    <row r="73" customFormat="false" ht="23.85" hidden="false" customHeight="false" outlineLevel="0" collapsed="false">
      <c r="A73" s="5" t="s">
        <v>180</v>
      </c>
      <c r="B73" s="5" t="s">
        <v>1037</v>
      </c>
      <c r="C73" s="5" t="s">
        <v>67</v>
      </c>
      <c r="D73" s="5" t="s">
        <v>1038</v>
      </c>
      <c r="E73" s="5" t="s">
        <v>1039</v>
      </c>
      <c r="F73" s="5" t="s">
        <v>1040</v>
      </c>
      <c r="G73" s="5" t="s">
        <v>815</v>
      </c>
      <c r="H73" s="5" t="s">
        <v>801</v>
      </c>
    </row>
    <row r="74" customFormat="false" ht="23.85" hidden="false" customHeight="false" outlineLevel="0" collapsed="false">
      <c r="A74" s="5" t="s">
        <v>180</v>
      </c>
      <c r="B74" s="5" t="s">
        <v>1041</v>
      </c>
      <c r="C74" s="5" t="s">
        <v>43</v>
      </c>
      <c r="D74" s="5" t="s">
        <v>1042</v>
      </c>
      <c r="E74" s="5" t="s">
        <v>1043</v>
      </c>
      <c r="F74" s="5" t="s">
        <v>1022</v>
      </c>
      <c r="G74" s="5" t="s">
        <v>857</v>
      </c>
      <c r="H74" s="5" t="s">
        <v>801</v>
      </c>
    </row>
    <row r="75" customFormat="false" ht="23.85" hidden="false" customHeight="false" outlineLevel="0" collapsed="false">
      <c r="A75" s="5" t="s">
        <v>183</v>
      </c>
      <c r="B75" s="5" t="s">
        <v>1044</v>
      </c>
      <c r="C75" s="5" t="s">
        <v>35</v>
      </c>
      <c r="D75" s="5" t="s">
        <v>1045</v>
      </c>
      <c r="E75" s="5" t="s">
        <v>1046</v>
      </c>
      <c r="F75" s="5" t="s">
        <v>1047</v>
      </c>
      <c r="G75" s="5" t="s">
        <v>862</v>
      </c>
      <c r="H75" s="5" t="s">
        <v>801</v>
      </c>
    </row>
    <row r="76" customFormat="false" ht="15" hidden="false" customHeight="false" outlineLevel="0" collapsed="false">
      <c r="A76" s="5" t="s">
        <v>183</v>
      </c>
      <c r="B76" s="5" t="s">
        <v>1048</v>
      </c>
      <c r="C76" s="5" t="s">
        <v>80</v>
      </c>
      <c r="D76" s="5" t="s">
        <v>1049</v>
      </c>
      <c r="E76" s="5" t="s">
        <v>1050</v>
      </c>
      <c r="F76" s="5" t="s">
        <v>1022</v>
      </c>
      <c r="G76" s="5" t="s">
        <v>862</v>
      </c>
      <c r="H76" s="5" t="s">
        <v>801</v>
      </c>
    </row>
    <row r="77" customFormat="false" ht="15" hidden="false" customHeight="false" outlineLevel="0" collapsed="false">
      <c r="A77" s="5" t="s">
        <v>186</v>
      </c>
      <c r="B77" s="5" t="s">
        <v>1051</v>
      </c>
      <c r="C77" s="5" t="s">
        <v>27</v>
      </c>
      <c r="D77" s="5" t="s">
        <v>1052</v>
      </c>
      <c r="E77" s="5" t="s">
        <v>1053</v>
      </c>
      <c r="F77" s="5" t="s">
        <v>1054</v>
      </c>
      <c r="G77" s="5" t="s">
        <v>815</v>
      </c>
      <c r="H77" s="5" t="s">
        <v>801</v>
      </c>
    </row>
    <row r="78" customFormat="false" ht="15" hidden="false" customHeight="false" outlineLevel="0" collapsed="false">
      <c r="A78" s="5" t="s">
        <v>186</v>
      </c>
      <c r="B78" s="5" t="s">
        <v>1055</v>
      </c>
      <c r="C78" s="5" t="s">
        <v>54</v>
      </c>
      <c r="D78" s="5" t="s">
        <v>1056</v>
      </c>
      <c r="E78" s="5" t="s">
        <v>1057</v>
      </c>
      <c r="F78" s="5" t="s">
        <v>1022</v>
      </c>
      <c r="G78" s="5" t="s">
        <v>815</v>
      </c>
      <c r="H78" s="5" t="s">
        <v>801</v>
      </c>
    </row>
    <row r="79" customFormat="false" ht="23.85" hidden="false" customHeight="false" outlineLevel="0" collapsed="false">
      <c r="A79" s="5" t="s">
        <v>188</v>
      </c>
      <c r="B79" s="5" t="s">
        <v>1058</v>
      </c>
      <c r="C79" s="5" t="s">
        <v>38</v>
      </c>
      <c r="D79" s="5" t="s">
        <v>1059</v>
      </c>
      <c r="E79" s="5" t="s">
        <v>1060</v>
      </c>
      <c r="F79" s="5" t="s">
        <v>1061</v>
      </c>
      <c r="G79" s="5" t="s">
        <v>810</v>
      </c>
      <c r="H79" s="5" t="s">
        <v>801</v>
      </c>
    </row>
    <row r="80" customFormat="false" ht="15" hidden="false" customHeight="false" outlineLevel="0" collapsed="false">
      <c r="A80" s="5" t="s">
        <v>188</v>
      </c>
      <c r="B80" s="5" t="s">
        <v>1062</v>
      </c>
      <c r="C80" s="5" t="s">
        <v>49</v>
      </c>
      <c r="D80" s="5" t="s">
        <v>1063</v>
      </c>
      <c r="E80" s="5" t="s">
        <v>1064</v>
      </c>
      <c r="F80" s="5" t="s">
        <v>1022</v>
      </c>
      <c r="G80" s="5" t="s">
        <v>800</v>
      </c>
      <c r="H80" s="5" t="s">
        <v>801</v>
      </c>
    </row>
    <row r="81" customFormat="false" ht="23.85" hidden="false" customHeight="false" outlineLevel="0" collapsed="false">
      <c r="A81" s="5" t="s">
        <v>191</v>
      </c>
      <c r="B81" s="5" t="s">
        <v>1065</v>
      </c>
      <c r="C81" s="5" t="s">
        <v>27</v>
      </c>
      <c r="D81" s="5" t="s">
        <v>1066</v>
      </c>
      <c r="E81" s="5" t="s">
        <v>1067</v>
      </c>
      <c r="F81" s="5" t="s">
        <v>1068</v>
      </c>
      <c r="G81" s="5" t="s">
        <v>800</v>
      </c>
      <c r="H81" s="5" t="s">
        <v>801</v>
      </c>
    </row>
    <row r="82" customFormat="false" ht="23.85" hidden="false" customHeight="false" outlineLevel="0" collapsed="false">
      <c r="A82" s="5" t="s">
        <v>191</v>
      </c>
      <c r="B82" s="5" t="s">
        <v>1069</v>
      </c>
      <c r="C82" s="5" t="s">
        <v>35</v>
      </c>
      <c r="D82" s="5" t="s">
        <v>1070</v>
      </c>
      <c r="E82" s="5" t="s">
        <v>1071</v>
      </c>
      <c r="F82" s="5" t="s">
        <v>1022</v>
      </c>
      <c r="G82" s="5" t="s">
        <v>815</v>
      </c>
      <c r="H82" s="5" t="s">
        <v>801</v>
      </c>
    </row>
    <row r="83" customFormat="false" ht="23.85" hidden="false" customHeight="false" outlineLevel="0" collapsed="false">
      <c r="A83" s="5" t="s">
        <v>194</v>
      </c>
      <c r="B83" s="5" t="s">
        <v>1072</v>
      </c>
      <c r="C83" s="5" t="s">
        <v>80</v>
      </c>
      <c r="D83" s="5" t="s">
        <v>1073</v>
      </c>
      <c r="E83" s="5" t="s">
        <v>1074</v>
      </c>
      <c r="F83" s="5" t="s">
        <v>1075</v>
      </c>
      <c r="G83" s="5" t="s">
        <v>800</v>
      </c>
      <c r="H83" s="5" t="s">
        <v>801</v>
      </c>
    </row>
    <row r="84" customFormat="false" ht="23.85" hidden="false" customHeight="false" outlineLevel="0" collapsed="false">
      <c r="A84" s="5" t="s">
        <v>194</v>
      </c>
      <c r="B84" s="5" t="s">
        <v>1076</v>
      </c>
      <c r="C84" s="5" t="s">
        <v>27</v>
      </c>
      <c r="D84" s="5" t="s">
        <v>1077</v>
      </c>
      <c r="E84" s="5" t="s">
        <v>1078</v>
      </c>
      <c r="F84" s="5" t="s">
        <v>1022</v>
      </c>
      <c r="G84" s="5" t="s">
        <v>828</v>
      </c>
      <c r="H84" s="5" t="s">
        <v>801</v>
      </c>
    </row>
    <row r="85" customFormat="false" ht="15" hidden="false" customHeight="false" outlineLevel="0" collapsed="false">
      <c r="A85" s="5" t="s">
        <v>197</v>
      </c>
      <c r="B85" s="5" t="s">
        <v>1079</v>
      </c>
      <c r="C85" s="5" t="s">
        <v>80</v>
      </c>
      <c r="D85" s="5" t="s">
        <v>1080</v>
      </c>
      <c r="E85" s="5" t="s">
        <v>1081</v>
      </c>
      <c r="F85" s="5" t="s">
        <v>1082</v>
      </c>
      <c r="G85" s="5" t="s">
        <v>852</v>
      </c>
      <c r="H85" s="5" t="s">
        <v>801</v>
      </c>
    </row>
    <row r="86" customFormat="false" ht="15" hidden="false" customHeight="false" outlineLevel="0" collapsed="false">
      <c r="A86" s="5" t="s">
        <v>197</v>
      </c>
      <c r="B86" s="5" t="s">
        <v>1083</v>
      </c>
      <c r="C86" s="5" t="s">
        <v>32</v>
      </c>
      <c r="D86" s="5" t="s">
        <v>1084</v>
      </c>
      <c r="E86" s="5" t="s">
        <v>1085</v>
      </c>
      <c r="F86" s="5" t="s">
        <v>1022</v>
      </c>
      <c r="G86" s="5" t="s">
        <v>852</v>
      </c>
      <c r="H86" s="5" t="s">
        <v>801</v>
      </c>
    </row>
    <row r="87" customFormat="false" ht="23.85" hidden="false" customHeight="false" outlineLevel="0" collapsed="false">
      <c r="A87" s="5" t="s">
        <v>200</v>
      </c>
      <c r="B87" s="5" t="s">
        <v>1086</v>
      </c>
      <c r="C87" s="5" t="s">
        <v>54</v>
      </c>
      <c r="D87" s="5" t="s">
        <v>1087</v>
      </c>
      <c r="E87" s="5" t="s">
        <v>1088</v>
      </c>
      <c r="F87" s="5" t="s">
        <v>1089</v>
      </c>
      <c r="G87" s="5" t="s">
        <v>800</v>
      </c>
      <c r="H87" s="5" t="s">
        <v>801</v>
      </c>
    </row>
    <row r="88" customFormat="false" ht="15" hidden="false" customHeight="false" outlineLevel="0" collapsed="false">
      <c r="A88" s="5" t="s">
        <v>200</v>
      </c>
      <c r="B88" s="5" t="s">
        <v>1090</v>
      </c>
      <c r="C88" s="5" t="s">
        <v>27</v>
      </c>
      <c r="D88" s="5" t="s">
        <v>1091</v>
      </c>
      <c r="E88" s="5" t="s">
        <v>1092</v>
      </c>
      <c r="F88" s="5" t="s">
        <v>1022</v>
      </c>
      <c r="G88" s="5" t="s">
        <v>800</v>
      </c>
      <c r="H88" s="5" t="s">
        <v>801</v>
      </c>
    </row>
    <row r="89" customFormat="false" ht="23.85" hidden="false" customHeight="false" outlineLevel="0" collapsed="false">
      <c r="A89" s="5" t="s">
        <v>203</v>
      </c>
      <c r="B89" s="5" t="s">
        <v>1093</v>
      </c>
      <c r="C89" s="5" t="s">
        <v>27</v>
      </c>
      <c r="D89" s="5" t="s">
        <v>1094</v>
      </c>
      <c r="E89" s="5" t="s">
        <v>1095</v>
      </c>
      <c r="F89" s="5" t="s">
        <v>1096</v>
      </c>
      <c r="G89" s="5" t="s">
        <v>815</v>
      </c>
      <c r="H89" s="5" t="s">
        <v>801</v>
      </c>
    </row>
    <row r="90" customFormat="false" ht="15" hidden="false" customHeight="false" outlineLevel="0" collapsed="false">
      <c r="A90" s="5" t="s">
        <v>203</v>
      </c>
      <c r="B90" s="5" t="s">
        <v>1097</v>
      </c>
      <c r="C90" s="5" t="s">
        <v>43</v>
      </c>
      <c r="D90" s="5" t="s">
        <v>1098</v>
      </c>
      <c r="E90" s="5" t="s">
        <v>1099</v>
      </c>
      <c r="F90" s="5" t="s">
        <v>1022</v>
      </c>
      <c r="G90" s="5" t="s">
        <v>815</v>
      </c>
      <c r="H90" s="5" t="s">
        <v>801</v>
      </c>
    </row>
    <row r="91" customFormat="false" ht="15" hidden="false" customHeight="false" outlineLevel="0" collapsed="false">
      <c r="A91" s="5" t="s">
        <v>206</v>
      </c>
      <c r="B91" s="5" t="s">
        <v>1100</v>
      </c>
      <c r="C91" s="5" t="s">
        <v>27</v>
      </c>
      <c r="D91" s="5" t="s">
        <v>1101</v>
      </c>
      <c r="E91" s="5" t="s">
        <v>1102</v>
      </c>
      <c r="F91" s="5" t="s">
        <v>1103</v>
      </c>
      <c r="G91" s="5" t="s">
        <v>810</v>
      </c>
      <c r="H91" s="5" t="s">
        <v>801</v>
      </c>
    </row>
    <row r="92" customFormat="false" ht="15" hidden="false" customHeight="false" outlineLevel="0" collapsed="false">
      <c r="A92" s="5" t="s">
        <v>206</v>
      </c>
      <c r="B92" s="5" t="s">
        <v>1104</v>
      </c>
      <c r="C92" s="5" t="s">
        <v>54</v>
      </c>
      <c r="D92" s="5" t="s">
        <v>1105</v>
      </c>
      <c r="E92" s="5" t="s">
        <v>1106</v>
      </c>
      <c r="F92" s="5" t="s">
        <v>1022</v>
      </c>
      <c r="G92" s="5" t="s">
        <v>852</v>
      </c>
      <c r="H92" s="5" t="s">
        <v>801</v>
      </c>
    </row>
    <row r="93" customFormat="false" ht="23.85" hidden="false" customHeight="false" outlineLevel="0" collapsed="false">
      <c r="A93" s="5" t="s">
        <v>208</v>
      </c>
      <c r="B93" s="5" t="s">
        <v>1107</v>
      </c>
      <c r="C93" s="5" t="s">
        <v>46</v>
      </c>
      <c r="D93" s="5" t="s">
        <v>1108</v>
      </c>
      <c r="E93" s="5" t="s">
        <v>1109</v>
      </c>
      <c r="F93" s="5" t="s">
        <v>1110</v>
      </c>
      <c r="G93" s="5" t="s">
        <v>857</v>
      </c>
      <c r="H93" s="5" t="s">
        <v>801</v>
      </c>
    </row>
    <row r="94" customFormat="false" ht="15" hidden="false" customHeight="false" outlineLevel="0" collapsed="false">
      <c r="A94" s="5" t="s">
        <v>208</v>
      </c>
      <c r="B94" s="5" t="s">
        <v>1111</v>
      </c>
      <c r="C94" s="5" t="s">
        <v>35</v>
      </c>
      <c r="D94" s="5" t="s">
        <v>1112</v>
      </c>
      <c r="E94" s="5" t="s">
        <v>1113</v>
      </c>
      <c r="F94" s="5" t="s">
        <v>1022</v>
      </c>
      <c r="G94" s="5" t="s">
        <v>810</v>
      </c>
      <c r="H94" s="5" t="s">
        <v>801</v>
      </c>
    </row>
    <row r="95" customFormat="false" ht="15" hidden="false" customHeight="false" outlineLevel="0" collapsed="false">
      <c r="A95" s="5" t="s">
        <v>211</v>
      </c>
      <c r="B95" s="5" t="s">
        <v>1114</v>
      </c>
      <c r="C95" s="5" t="s">
        <v>35</v>
      </c>
      <c r="D95" s="5" t="s">
        <v>1115</v>
      </c>
      <c r="E95" s="5" t="s">
        <v>1116</v>
      </c>
      <c r="F95" s="5" t="s">
        <v>1117</v>
      </c>
      <c r="G95" s="5" t="s">
        <v>800</v>
      </c>
      <c r="H95" s="5" t="s">
        <v>801</v>
      </c>
    </row>
    <row r="96" customFormat="false" ht="15" hidden="false" customHeight="false" outlineLevel="0" collapsed="false">
      <c r="A96" s="5" t="s">
        <v>211</v>
      </c>
      <c r="B96" s="5" t="s">
        <v>1118</v>
      </c>
      <c r="C96" s="5" t="s">
        <v>46</v>
      </c>
      <c r="D96" s="5" t="s">
        <v>1119</v>
      </c>
      <c r="E96" s="5" t="s">
        <v>1120</v>
      </c>
      <c r="F96" s="5" t="s">
        <v>1022</v>
      </c>
      <c r="G96" s="5" t="s">
        <v>800</v>
      </c>
      <c r="H96" s="5" t="s">
        <v>801</v>
      </c>
    </row>
    <row r="97" customFormat="false" ht="23.85" hidden="false" customHeight="false" outlineLevel="0" collapsed="false">
      <c r="A97" s="5" t="s">
        <v>214</v>
      </c>
      <c r="B97" s="5" t="s">
        <v>1121</v>
      </c>
      <c r="C97" s="5" t="s">
        <v>27</v>
      </c>
      <c r="D97" s="5" t="s">
        <v>1122</v>
      </c>
      <c r="E97" s="5" t="s">
        <v>1123</v>
      </c>
      <c r="F97" s="5" t="s">
        <v>1124</v>
      </c>
      <c r="G97" s="5" t="s">
        <v>832</v>
      </c>
      <c r="H97" s="5" t="s">
        <v>801</v>
      </c>
    </row>
    <row r="98" customFormat="false" ht="23.85" hidden="false" customHeight="false" outlineLevel="0" collapsed="false">
      <c r="A98" s="5" t="s">
        <v>214</v>
      </c>
      <c r="B98" s="5" t="s">
        <v>1125</v>
      </c>
      <c r="C98" s="5" t="s">
        <v>49</v>
      </c>
      <c r="D98" s="5" t="s">
        <v>1126</v>
      </c>
      <c r="E98" s="5" t="s">
        <v>1127</v>
      </c>
      <c r="F98" s="5" t="s">
        <v>1022</v>
      </c>
      <c r="G98" s="5" t="s">
        <v>832</v>
      </c>
      <c r="H98" s="5" t="s">
        <v>801</v>
      </c>
    </row>
    <row r="99" customFormat="false" ht="23.85" hidden="false" customHeight="false" outlineLevel="0" collapsed="false">
      <c r="A99" s="5" t="s">
        <v>216</v>
      </c>
      <c r="B99" s="5" t="s">
        <v>1128</v>
      </c>
      <c r="C99" s="5" t="s">
        <v>27</v>
      </c>
      <c r="D99" s="5" t="s">
        <v>1129</v>
      </c>
      <c r="E99" s="5" t="s">
        <v>1130</v>
      </c>
      <c r="F99" s="5" t="s">
        <v>1131</v>
      </c>
      <c r="G99" s="5" t="s">
        <v>862</v>
      </c>
      <c r="H99" s="5" t="s">
        <v>801</v>
      </c>
    </row>
    <row r="100" customFormat="false" ht="15" hidden="false" customHeight="false" outlineLevel="0" collapsed="false">
      <c r="A100" s="5" t="s">
        <v>216</v>
      </c>
      <c r="B100" s="5" t="s">
        <v>1132</v>
      </c>
      <c r="C100" s="5" t="s">
        <v>54</v>
      </c>
      <c r="D100" s="5" t="s">
        <v>1133</v>
      </c>
      <c r="E100" s="5" t="s">
        <v>1134</v>
      </c>
      <c r="F100" s="5" t="s">
        <v>1022</v>
      </c>
      <c r="G100" s="5" t="s">
        <v>862</v>
      </c>
      <c r="H100" s="5" t="s">
        <v>801</v>
      </c>
    </row>
    <row r="101" customFormat="false" ht="15" hidden="false" customHeight="false" outlineLevel="0" collapsed="false">
      <c r="A101" s="5" t="s">
        <v>218</v>
      </c>
      <c r="B101" s="5" t="s">
        <v>1135</v>
      </c>
      <c r="C101" s="5" t="s">
        <v>32</v>
      </c>
      <c r="D101" s="5" t="s">
        <v>1136</v>
      </c>
      <c r="E101" s="5" t="s">
        <v>1137</v>
      </c>
      <c r="F101" s="5" t="s">
        <v>1138</v>
      </c>
      <c r="G101" s="5" t="s">
        <v>800</v>
      </c>
      <c r="H101" s="5" t="s">
        <v>801</v>
      </c>
    </row>
    <row r="102" customFormat="false" ht="15" hidden="false" customHeight="false" outlineLevel="0" collapsed="false">
      <c r="A102" s="5" t="s">
        <v>218</v>
      </c>
      <c r="B102" s="5" t="s">
        <v>1139</v>
      </c>
      <c r="C102" s="5" t="s">
        <v>49</v>
      </c>
      <c r="D102" s="5" t="s">
        <v>1140</v>
      </c>
      <c r="E102" s="5" t="s">
        <v>1141</v>
      </c>
      <c r="F102" s="5" t="s">
        <v>1022</v>
      </c>
      <c r="G102" s="5" t="s">
        <v>800</v>
      </c>
      <c r="H102" s="5" t="s">
        <v>801</v>
      </c>
    </row>
    <row r="103" customFormat="false" ht="23.85" hidden="false" customHeight="false" outlineLevel="0" collapsed="false">
      <c r="A103" s="5" t="s">
        <v>220</v>
      </c>
      <c r="B103" s="5" t="s">
        <v>1142</v>
      </c>
      <c r="C103" s="5" t="s">
        <v>32</v>
      </c>
      <c r="D103" s="5" t="s">
        <v>1143</v>
      </c>
      <c r="E103" s="5" t="s">
        <v>1144</v>
      </c>
      <c r="F103" s="5" t="s">
        <v>809</v>
      </c>
      <c r="G103" s="5" t="s">
        <v>857</v>
      </c>
      <c r="H103" s="5" t="s">
        <v>801</v>
      </c>
    </row>
    <row r="104" customFormat="false" ht="15" hidden="false" customHeight="false" outlineLevel="0" collapsed="false">
      <c r="A104" s="5" t="s">
        <v>220</v>
      </c>
      <c r="B104" s="5" t="s">
        <v>853</v>
      </c>
      <c r="C104" s="5" t="s">
        <v>43</v>
      </c>
      <c r="D104" s="5" t="s">
        <v>1145</v>
      </c>
      <c r="E104" s="5" t="s">
        <v>1146</v>
      </c>
      <c r="F104" s="5" t="s">
        <v>1022</v>
      </c>
      <c r="G104" s="5" t="s">
        <v>857</v>
      </c>
      <c r="H104" s="5" t="s">
        <v>801</v>
      </c>
    </row>
    <row r="105" customFormat="false" ht="15" hidden="false" customHeight="false" outlineLevel="0" collapsed="false">
      <c r="A105" s="5" t="s">
        <v>223</v>
      </c>
      <c r="B105" s="5" t="s">
        <v>1147</v>
      </c>
      <c r="C105" s="5" t="s">
        <v>32</v>
      </c>
      <c r="D105" s="5" t="s">
        <v>1148</v>
      </c>
      <c r="E105" s="5" t="s">
        <v>1149</v>
      </c>
      <c r="F105" s="5" t="s">
        <v>1150</v>
      </c>
      <c r="G105" s="5" t="s">
        <v>828</v>
      </c>
      <c r="H105" s="5" t="s">
        <v>801</v>
      </c>
    </row>
    <row r="106" customFormat="false" ht="15" hidden="false" customHeight="false" outlineLevel="0" collapsed="false">
      <c r="A106" s="5" t="s">
        <v>223</v>
      </c>
      <c r="B106" s="5" t="s">
        <v>1151</v>
      </c>
      <c r="C106" s="5" t="s">
        <v>54</v>
      </c>
      <c r="D106" s="5" t="s">
        <v>1152</v>
      </c>
      <c r="E106" s="5" t="s">
        <v>1153</v>
      </c>
      <c r="F106" s="5" t="s">
        <v>1022</v>
      </c>
      <c r="G106" s="5" t="s">
        <v>810</v>
      </c>
      <c r="H106" s="5" t="s">
        <v>801</v>
      </c>
    </row>
    <row r="107" customFormat="false" ht="15" hidden="false" customHeight="false" outlineLevel="0" collapsed="false">
      <c r="A107" s="5" t="s">
        <v>226</v>
      </c>
      <c r="B107" s="5" t="s">
        <v>1154</v>
      </c>
      <c r="C107" s="5" t="s">
        <v>27</v>
      </c>
      <c r="D107" s="5" t="s">
        <v>1155</v>
      </c>
      <c r="E107" s="5" t="s">
        <v>1156</v>
      </c>
      <c r="F107" s="5" t="s">
        <v>932</v>
      </c>
      <c r="G107" s="5" t="s">
        <v>800</v>
      </c>
      <c r="H107" s="5" t="s">
        <v>801</v>
      </c>
    </row>
    <row r="108" customFormat="false" ht="15" hidden="false" customHeight="false" outlineLevel="0" collapsed="false">
      <c r="A108" s="5" t="s">
        <v>226</v>
      </c>
      <c r="B108" s="5" t="s">
        <v>1157</v>
      </c>
      <c r="C108" s="5" t="s">
        <v>54</v>
      </c>
      <c r="D108" s="5" t="s">
        <v>1155</v>
      </c>
      <c r="E108" s="5" t="s">
        <v>1156</v>
      </c>
      <c r="F108" s="5" t="s">
        <v>1022</v>
      </c>
      <c r="G108" s="5" t="s">
        <v>800</v>
      </c>
      <c r="H108" s="5" t="s">
        <v>801</v>
      </c>
    </row>
    <row r="109" customFormat="false" ht="23.85" hidden="false" customHeight="false" outlineLevel="0" collapsed="false">
      <c r="A109" s="5" t="s">
        <v>229</v>
      </c>
      <c r="B109" s="5" t="s">
        <v>1158</v>
      </c>
      <c r="C109" s="5" t="s">
        <v>32</v>
      </c>
      <c r="D109" s="5" t="s">
        <v>1159</v>
      </c>
      <c r="E109" s="5" t="s">
        <v>1160</v>
      </c>
      <c r="F109" s="5" t="s">
        <v>1161</v>
      </c>
      <c r="G109" s="5" t="s">
        <v>815</v>
      </c>
      <c r="H109" s="5" t="s">
        <v>801</v>
      </c>
    </row>
    <row r="110" customFormat="false" ht="23.85" hidden="false" customHeight="false" outlineLevel="0" collapsed="false">
      <c r="A110" s="5" t="s">
        <v>229</v>
      </c>
      <c r="B110" s="5" t="s">
        <v>1162</v>
      </c>
      <c r="C110" s="5" t="s">
        <v>49</v>
      </c>
      <c r="D110" s="5" t="s">
        <v>1159</v>
      </c>
      <c r="E110" s="5" t="s">
        <v>1160</v>
      </c>
      <c r="F110" s="5" t="s">
        <v>1022</v>
      </c>
      <c r="G110" s="5" t="s">
        <v>815</v>
      </c>
      <c r="H110" s="5" t="s">
        <v>801</v>
      </c>
    </row>
    <row r="111" customFormat="false" ht="23.85" hidden="false" customHeight="false" outlineLevel="0" collapsed="false">
      <c r="A111" s="5" t="s">
        <v>231</v>
      </c>
      <c r="B111" s="5" t="s">
        <v>1163</v>
      </c>
      <c r="C111" s="5" t="s">
        <v>27</v>
      </c>
      <c r="D111" s="5" t="s">
        <v>1164</v>
      </c>
      <c r="E111" s="5" t="s">
        <v>1165</v>
      </c>
      <c r="F111" s="5" t="s">
        <v>799</v>
      </c>
      <c r="G111" s="5" t="s">
        <v>832</v>
      </c>
      <c r="H111" s="5" t="s">
        <v>801</v>
      </c>
    </row>
    <row r="112" customFormat="false" ht="23.85" hidden="false" customHeight="false" outlineLevel="0" collapsed="false">
      <c r="A112" s="5" t="s">
        <v>231</v>
      </c>
      <c r="B112" s="5" t="s">
        <v>1166</v>
      </c>
      <c r="C112" s="5" t="s">
        <v>54</v>
      </c>
      <c r="D112" s="5" t="s">
        <v>1164</v>
      </c>
      <c r="E112" s="5" t="s">
        <v>1165</v>
      </c>
      <c r="F112" s="5" t="s">
        <v>1022</v>
      </c>
      <c r="G112" s="5" t="s">
        <v>832</v>
      </c>
      <c r="H112" s="5" t="s">
        <v>801</v>
      </c>
    </row>
    <row r="113" customFormat="false" ht="15" hidden="false" customHeight="false" outlineLevel="0" collapsed="false">
      <c r="A113" s="5" t="s">
        <v>233</v>
      </c>
      <c r="B113" s="5" t="s">
        <v>1167</v>
      </c>
      <c r="C113" s="5" t="s">
        <v>27</v>
      </c>
      <c r="D113" s="5" t="s">
        <v>1168</v>
      </c>
      <c r="E113" s="5" t="s">
        <v>1169</v>
      </c>
      <c r="F113" s="5" t="s">
        <v>1068</v>
      </c>
      <c r="G113" s="5" t="s">
        <v>815</v>
      </c>
      <c r="H113" s="5" t="s">
        <v>801</v>
      </c>
    </row>
    <row r="114" customFormat="false" ht="15" hidden="false" customHeight="false" outlineLevel="0" collapsed="false">
      <c r="A114" s="5" t="s">
        <v>233</v>
      </c>
      <c r="B114" s="5" t="s">
        <v>1170</v>
      </c>
      <c r="C114" s="5" t="s">
        <v>46</v>
      </c>
      <c r="D114" s="5" t="s">
        <v>1168</v>
      </c>
      <c r="E114" s="5" t="s">
        <v>1169</v>
      </c>
      <c r="F114" s="5" t="s">
        <v>1022</v>
      </c>
      <c r="G114" s="5" t="s">
        <v>815</v>
      </c>
      <c r="H114" s="5" t="s">
        <v>801</v>
      </c>
    </row>
    <row r="115" customFormat="false" ht="15" hidden="false" customHeight="false" outlineLevel="0" collapsed="false">
      <c r="A115" s="5" t="s">
        <v>236</v>
      </c>
      <c r="B115" s="5" t="s">
        <v>1171</v>
      </c>
      <c r="C115" s="5" t="s">
        <v>54</v>
      </c>
      <c r="D115" s="5" t="s">
        <v>1172</v>
      </c>
      <c r="E115" s="5" t="s">
        <v>1173</v>
      </c>
      <c r="F115" s="5" t="s">
        <v>1174</v>
      </c>
      <c r="G115" s="5" t="s">
        <v>828</v>
      </c>
      <c r="H115" s="5" t="s">
        <v>801</v>
      </c>
    </row>
    <row r="116" customFormat="false" ht="15" hidden="false" customHeight="false" outlineLevel="0" collapsed="false">
      <c r="A116" s="5" t="s">
        <v>236</v>
      </c>
      <c r="B116" s="5" t="s">
        <v>1175</v>
      </c>
      <c r="C116" s="5" t="s">
        <v>32</v>
      </c>
      <c r="D116" s="5" t="s">
        <v>1172</v>
      </c>
      <c r="E116" s="5" t="s">
        <v>1173</v>
      </c>
      <c r="F116" s="5" t="s">
        <v>1022</v>
      </c>
      <c r="G116" s="5" t="s">
        <v>828</v>
      </c>
      <c r="H116" s="5" t="s">
        <v>801</v>
      </c>
    </row>
    <row r="117" customFormat="false" ht="15" hidden="false" customHeight="false" outlineLevel="0" collapsed="false">
      <c r="A117" s="5" t="s">
        <v>239</v>
      </c>
      <c r="B117" s="5" t="s">
        <v>1176</v>
      </c>
      <c r="C117" s="5" t="s">
        <v>38</v>
      </c>
      <c r="D117" s="5"/>
      <c r="E117" s="5" t="s">
        <v>809</v>
      </c>
      <c r="F117" s="5" t="s">
        <v>809</v>
      </c>
      <c r="G117" s="5" t="s">
        <v>809</v>
      </c>
      <c r="H117" s="5" t="s">
        <v>801</v>
      </c>
    </row>
    <row r="118" customFormat="false" ht="15" hidden="false" customHeight="false" outlineLevel="0" collapsed="false">
      <c r="A118" s="5" t="s">
        <v>242</v>
      </c>
      <c r="B118" s="5" t="s">
        <v>1177</v>
      </c>
      <c r="C118" s="5" t="s">
        <v>35</v>
      </c>
      <c r="D118" s="5"/>
      <c r="E118" s="5" t="s">
        <v>809</v>
      </c>
      <c r="F118" s="5" t="s">
        <v>809</v>
      </c>
      <c r="G118" s="5" t="s">
        <v>809</v>
      </c>
      <c r="H118" s="5" t="s">
        <v>801</v>
      </c>
    </row>
    <row r="119" customFormat="false" ht="15" hidden="false" customHeight="false" outlineLevel="0" collapsed="false">
      <c r="A119" s="5" t="s">
        <v>244</v>
      </c>
      <c r="B119" s="5" t="s">
        <v>1178</v>
      </c>
      <c r="C119" s="5" t="s">
        <v>54</v>
      </c>
      <c r="D119" s="5"/>
      <c r="E119" s="5" t="s">
        <v>809</v>
      </c>
      <c r="F119" s="5" t="s">
        <v>799</v>
      </c>
      <c r="G119" s="5" t="s">
        <v>809</v>
      </c>
      <c r="H119" s="5" t="s">
        <v>801</v>
      </c>
    </row>
    <row r="120" customFormat="false" ht="15" hidden="false" customHeight="false" outlineLevel="0" collapsed="false">
      <c r="A120" s="5" t="s">
        <v>246</v>
      </c>
      <c r="B120" s="5" t="s">
        <v>1179</v>
      </c>
      <c r="C120" s="5" t="s">
        <v>32</v>
      </c>
      <c r="D120" s="5"/>
      <c r="E120" s="5" t="s">
        <v>809</v>
      </c>
      <c r="F120" s="5" t="s">
        <v>809</v>
      </c>
      <c r="G120" s="5" t="s">
        <v>809</v>
      </c>
      <c r="H120" s="5" t="s">
        <v>801</v>
      </c>
    </row>
    <row r="121" customFormat="false" ht="15" hidden="false" customHeight="false" outlineLevel="0" collapsed="false">
      <c r="A121" s="5" t="s">
        <v>248</v>
      </c>
      <c r="B121" s="5" t="s">
        <v>1180</v>
      </c>
      <c r="C121" s="5" t="s">
        <v>49</v>
      </c>
      <c r="D121" s="5"/>
      <c r="E121" s="5" t="s">
        <v>809</v>
      </c>
      <c r="F121" s="5" t="s">
        <v>1040</v>
      </c>
      <c r="G121" s="5" t="s">
        <v>809</v>
      </c>
      <c r="H121" s="5" t="s">
        <v>801</v>
      </c>
    </row>
    <row r="122" customFormat="false" ht="15" hidden="false" customHeight="false" outlineLevel="0" collapsed="false">
      <c r="A122" s="5" t="s">
        <v>250</v>
      </c>
      <c r="B122" s="5"/>
      <c r="C122" s="5" t="s">
        <v>252</v>
      </c>
      <c r="D122" s="5"/>
      <c r="E122" s="5" t="s">
        <v>809</v>
      </c>
      <c r="F122" s="5" t="s">
        <v>1181</v>
      </c>
      <c r="G122" s="5" t="s">
        <v>809</v>
      </c>
      <c r="H122" s="5" t="s">
        <v>801</v>
      </c>
    </row>
    <row r="123" customFormat="false" ht="15" hidden="false" customHeight="false" outlineLevel="0" collapsed="false">
      <c r="A123" s="5" t="s">
        <v>254</v>
      </c>
      <c r="B123" s="5"/>
      <c r="C123" s="5" t="s">
        <v>252</v>
      </c>
      <c r="D123" s="5"/>
      <c r="E123" s="5" t="s">
        <v>809</v>
      </c>
      <c r="F123" s="5" t="s">
        <v>1182</v>
      </c>
      <c r="G123" s="5" t="s">
        <v>809</v>
      </c>
      <c r="H123" s="5" t="s">
        <v>801</v>
      </c>
    </row>
    <row r="124" customFormat="false" ht="15" hidden="false" customHeight="false" outlineLevel="0" collapsed="false">
      <c r="A124" s="5" t="s">
        <v>256</v>
      </c>
      <c r="B124" s="5"/>
      <c r="C124" s="5" t="s">
        <v>252</v>
      </c>
      <c r="D124" s="5"/>
      <c r="E124" s="5" t="s">
        <v>809</v>
      </c>
      <c r="F124" s="5" t="s">
        <v>844</v>
      </c>
      <c r="G124" s="5" t="s">
        <v>809</v>
      </c>
      <c r="H124" s="5" t="s">
        <v>801</v>
      </c>
    </row>
    <row r="125" customFormat="false" ht="15" hidden="false" customHeight="false" outlineLevel="0" collapsed="false">
      <c r="A125" s="5" t="s">
        <v>258</v>
      </c>
      <c r="B125" s="5"/>
      <c r="C125" s="5" t="s">
        <v>252</v>
      </c>
      <c r="D125" s="5"/>
      <c r="E125" s="5" t="s">
        <v>809</v>
      </c>
      <c r="F125" s="5" t="s">
        <v>1183</v>
      </c>
      <c r="G125" s="5" t="s">
        <v>809</v>
      </c>
      <c r="H125" s="5" t="s">
        <v>801</v>
      </c>
    </row>
    <row r="126" customFormat="false" ht="15" hidden="false" customHeight="false" outlineLevel="0" collapsed="false">
      <c r="A126" s="5" t="s">
        <v>260</v>
      </c>
      <c r="B126" s="5"/>
      <c r="C126" s="5" t="s">
        <v>252</v>
      </c>
      <c r="D126" s="5"/>
      <c r="E126" s="5" t="s">
        <v>809</v>
      </c>
      <c r="F126" s="5" t="s">
        <v>1184</v>
      </c>
      <c r="G126" s="5" t="s">
        <v>809</v>
      </c>
      <c r="H126" s="5" t="s">
        <v>801</v>
      </c>
    </row>
    <row r="127" customFormat="false" ht="15" hidden="false" customHeight="false" outlineLevel="0" collapsed="false">
      <c r="A127" s="5" t="s">
        <v>262</v>
      </c>
      <c r="B127" s="5" t="s">
        <v>1185</v>
      </c>
      <c r="C127" s="5" t="s">
        <v>54</v>
      </c>
      <c r="D127" s="5" t="s">
        <v>1186</v>
      </c>
      <c r="E127" s="5" t="s">
        <v>1187</v>
      </c>
      <c r="F127" s="5" t="s">
        <v>1188</v>
      </c>
      <c r="G127" s="5" t="s">
        <v>852</v>
      </c>
      <c r="H127" s="5" t="s">
        <v>801</v>
      </c>
    </row>
    <row r="128" customFormat="false" ht="15" hidden="false" customHeight="false" outlineLevel="0" collapsed="false">
      <c r="A128" s="5" t="s">
        <v>264</v>
      </c>
      <c r="B128" s="5" t="s">
        <v>1189</v>
      </c>
      <c r="C128" s="5" t="s">
        <v>43</v>
      </c>
      <c r="D128" s="5" t="s">
        <v>1190</v>
      </c>
      <c r="E128" s="5" t="s">
        <v>1191</v>
      </c>
      <c r="F128" s="5" t="s">
        <v>809</v>
      </c>
      <c r="G128" s="5" t="s">
        <v>857</v>
      </c>
      <c r="H128" s="5" t="s">
        <v>801</v>
      </c>
    </row>
    <row r="129" customFormat="false" ht="23.85" hidden="false" customHeight="false" outlineLevel="0" collapsed="false">
      <c r="A129" s="5" t="s">
        <v>266</v>
      </c>
      <c r="B129" s="5" t="s">
        <v>1192</v>
      </c>
      <c r="C129" s="5" t="s">
        <v>35</v>
      </c>
      <c r="D129" s="5" t="s">
        <v>1193</v>
      </c>
      <c r="E129" s="5" t="s">
        <v>1046</v>
      </c>
      <c r="F129" s="5" t="s">
        <v>1194</v>
      </c>
      <c r="G129" s="5" t="s">
        <v>862</v>
      </c>
      <c r="H129" s="5" t="s">
        <v>801</v>
      </c>
    </row>
    <row r="130" customFormat="false" ht="23.85" hidden="false" customHeight="false" outlineLevel="0" collapsed="false">
      <c r="A130" s="5" t="s">
        <v>268</v>
      </c>
      <c r="B130" s="5" t="s">
        <v>1195</v>
      </c>
      <c r="C130" s="5" t="s">
        <v>67</v>
      </c>
      <c r="D130" s="5" t="s">
        <v>1196</v>
      </c>
      <c r="E130" s="5" t="s">
        <v>1197</v>
      </c>
      <c r="F130" s="5" t="s">
        <v>799</v>
      </c>
      <c r="G130" s="5" t="s">
        <v>852</v>
      </c>
      <c r="H130" s="5" t="s">
        <v>801</v>
      </c>
    </row>
    <row r="131" customFormat="false" ht="15" hidden="false" customHeight="false" outlineLevel="0" collapsed="false">
      <c r="A131" s="5" t="s">
        <v>270</v>
      </c>
      <c r="B131" s="5" t="s">
        <v>1198</v>
      </c>
      <c r="C131" s="5" t="s">
        <v>27</v>
      </c>
      <c r="D131" s="5" t="s">
        <v>1199</v>
      </c>
      <c r="E131" s="5" t="s">
        <v>1200</v>
      </c>
      <c r="F131" s="5" t="s">
        <v>809</v>
      </c>
      <c r="G131" s="5" t="s">
        <v>857</v>
      </c>
      <c r="H131" s="5" t="s">
        <v>801</v>
      </c>
    </row>
    <row r="132" customFormat="false" ht="23.85" hidden="false" customHeight="false" outlineLevel="0" collapsed="false">
      <c r="A132" s="5" t="s">
        <v>272</v>
      </c>
      <c r="B132" s="5" t="s">
        <v>1201</v>
      </c>
      <c r="C132" s="5" t="s">
        <v>38</v>
      </c>
      <c r="D132" s="5" t="s">
        <v>1202</v>
      </c>
      <c r="E132" s="5" t="s">
        <v>1203</v>
      </c>
      <c r="F132" s="5" t="s">
        <v>1204</v>
      </c>
      <c r="G132" s="5" t="s">
        <v>862</v>
      </c>
      <c r="H132" s="5" t="s">
        <v>801</v>
      </c>
    </row>
    <row r="133" customFormat="false" ht="23.85" hidden="false" customHeight="false" outlineLevel="0" collapsed="false">
      <c r="A133" s="5" t="s">
        <v>274</v>
      </c>
      <c r="B133" s="5" t="s">
        <v>1205</v>
      </c>
      <c r="C133" s="5" t="s">
        <v>46</v>
      </c>
      <c r="D133" s="5" t="s">
        <v>1206</v>
      </c>
      <c r="E133" s="5" t="s">
        <v>1207</v>
      </c>
      <c r="F133" s="5" t="s">
        <v>1208</v>
      </c>
      <c r="G133" s="5" t="s">
        <v>815</v>
      </c>
      <c r="H133" s="5" t="s">
        <v>801</v>
      </c>
    </row>
    <row r="134" customFormat="false" ht="23.85" hidden="false" customHeight="false" outlineLevel="0" collapsed="false">
      <c r="A134" s="5" t="s">
        <v>276</v>
      </c>
      <c r="B134" s="5" t="s">
        <v>1209</v>
      </c>
      <c r="C134" s="5" t="s">
        <v>80</v>
      </c>
      <c r="D134" s="5" t="s">
        <v>1210</v>
      </c>
      <c r="E134" s="5" t="s">
        <v>1211</v>
      </c>
      <c r="F134" s="5" t="s">
        <v>1212</v>
      </c>
      <c r="G134" s="5" t="s">
        <v>815</v>
      </c>
      <c r="H134" s="5" t="s">
        <v>801</v>
      </c>
    </row>
    <row r="135" customFormat="false" ht="23.85" hidden="false" customHeight="false" outlineLevel="0" collapsed="false">
      <c r="A135" s="5" t="s">
        <v>278</v>
      </c>
      <c r="B135" s="5" t="s">
        <v>1213</v>
      </c>
      <c r="C135" s="5" t="s">
        <v>35</v>
      </c>
      <c r="D135" s="5" t="s">
        <v>1214</v>
      </c>
      <c r="E135" s="5" t="s">
        <v>1215</v>
      </c>
      <c r="F135" s="5" t="s">
        <v>809</v>
      </c>
      <c r="G135" s="5" t="s">
        <v>852</v>
      </c>
      <c r="H135" s="5" t="s">
        <v>801</v>
      </c>
    </row>
    <row r="136" customFormat="false" ht="23.85" hidden="false" customHeight="false" outlineLevel="0" collapsed="false">
      <c r="A136" s="5" t="s">
        <v>280</v>
      </c>
      <c r="B136" s="5" t="s">
        <v>1216</v>
      </c>
      <c r="C136" s="5" t="s">
        <v>32</v>
      </c>
      <c r="D136" s="5" t="s">
        <v>1217</v>
      </c>
      <c r="E136" s="5" t="s">
        <v>1218</v>
      </c>
      <c r="F136" s="5" t="s">
        <v>809</v>
      </c>
      <c r="G136" s="5" t="s">
        <v>832</v>
      </c>
      <c r="H136" s="5" t="s">
        <v>801</v>
      </c>
    </row>
    <row r="137" customFormat="false" ht="15" hidden="false" customHeight="false" outlineLevel="0" collapsed="false">
      <c r="A137" s="5" t="s">
        <v>282</v>
      </c>
      <c r="B137" s="5" t="s">
        <v>1219</v>
      </c>
      <c r="C137" s="5" t="s">
        <v>49</v>
      </c>
      <c r="D137" s="5" t="s">
        <v>1220</v>
      </c>
      <c r="E137" s="5" t="s">
        <v>1221</v>
      </c>
      <c r="F137" s="5" t="s">
        <v>809</v>
      </c>
      <c r="G137" s="5" t="s">
        <v>862</v>
      </c>
      <c r="H137" s="5" t="s">
        <v>801</v>
      </c>
    </row>
    <row r="138" customFormat="false" ht="23.85" hidden="false" customHeight="false" outlineLevel="0" collapsed="false">
      <c r="A138" s="5" t="s">
        <v>284</v>
      </c>
      <c r="B138" s="5" t="s">
        <v>1222</v>
      </c>
      <c r="C138" s="5" t="s">
        <v>54</v>
      </c>
      <c r="D138" s="5" t="s">
        <v>1223</v>
      </c>
      <c r="E138" s="5" t="s">
        <v>1224</v>
      </c>
      <c r="F138" s="5" t="s">
        <v>1225</v>
      </c>
      <c r="G138" s="5" t="s">
        <v>857</v>
      </c>
      <c r="H138" s="5" t="s">
        <v>801</v>
      </c>
    </row>
    <row r="139" customFormat="false" ht="23.85" hidden="false" customHeight="false" outlineLevel="0" collapsed="false">
      <c r="A139" s="5" t="s">
        <v>286</v>
      </c>
      <c r="B139" s="5" t="s">
        <v>1226</v>
      </c>
      <c r="C139" s="5" t="s">
        <v>67</v>
      </c>
      <c r="D139" s="5" t="s">
        <v>1227</v>
      </c>
      <c r="E139" s="5" t="s">
        <v>1228</v>
      </c>
      <c r="F139" s="5" t="s">
        <v>809</v>
      </c>
      <c r="G139" s="5" t="s">
        <v>828</v>
      </c>
      <c r="H139" s="5" t="s">
        <v>801</v>
      </c>
    </row>
    <row r="140" customFormat="false" ht="23.85" hidden="false" customHeight="false" outlineLevel="0" collapsed="false">
      <c r="A140" s="5" t="s">
        <v>288</v>
      </c>
      <c r="B140" s="5" t="s">
        <v>1189</v>
      </c>
      <c r="C140" s="5" t="s">
        <v>43</v>
      </c>
      <c r="D140" s="5" t="s">
        <v>1229</v>
      </c>
      <c r="E140" s="5" t="s">
        <v>1230</v>
      </c>
      <c r="F140" s="5" t="s">
        <v>1231</v>
      </c>
      <c r="G140" s="5" t="s">
        <v>852</v>
      </c>
      <c r="H140" s="5" t="s">
        <v>801</v>
      </c>
    </row>
    <row r="141" customFormat="false" ht="23.85" hidden="false" customHeight="false" outlineLevel="0" collapsed="false">
      <c r="A141" s="5" t="s">
        <v>290</v>
      </c>
      <c r="B141" s="5" t="s">
        <v>1232</v>
      </c>
      <c r="C141" s="5" t="s">
        <v>27</v>
      </c>
      <c r="D141" s="5" t="s">
        <v>1233</v>
      </c>
      <c r="E141" s="5" t="s">
        <v>1234</v>
      </c>
      <c r="F141" s="5" t="s">
        <v>809</v>
      </c>
      <c r="G141" s="5" t="s">
        <v>862</v>
      </c>
      <c r="H141" s="5" t="s">
        <v>801</v>
      </c>
    </row>
    <row r="142" customFormat="false" ht="23.85" hidden="false" customHeight="false" outlineLevel="0" collapsed="false">
      <c r="A142" s="5" t="s">
        <v>292</v>
      </c>
      <c r="B142" s="5" t="s">
        <v>1235</v>
      </c>
      <c r="C142" s="5" t="s">
        <v>35</v>
      </c>
      <c r="D142" s="5" t="s">
        <v>1236</v>
      </c>
      <c r="E142" s="5" t="s">
        <v>1237</v>
      </c>
      <c r="F142" s="5" t="s">
        <v>1238</v>
      </c>
      <c r="G142" s="5" t="s">
        <v>857</v>
      </c>
      <c r="H142" s="5" t="s">
        <v>801</v>
      </c>
    </row>
    <row r="143" customFormat="false" ht="23.85" hidden="false" customHeight="false" outlineLevel="0" collapsed="false">
      <c r="A143" s="5" t="s">
        <v>294</v>
      </c>
      <c r="B143" s="5" t="s">
        <v>1239</v>
      </c>
      <c r="C143" s="5" t="s">
        <v>38</v>
      </c>
      <c r="D143" s="5" t="s">
        <v>1240</v>
      </c>
      <c r="E143" s="5" t="s">
        <v>1241</v>
      </c>
      <c r="F143" s="5" t="s">
        <v>1242</v>
      </c>
      <c r="G143" s="5" t="s">
        <v>852</v>
      </c>
      <c r="H143" s="5" t="s">
        <v>801</v>
      </c>
    </row>
    <row r="144" customFormat="false" ht="23.85" hidden="false" customHeight="false" outlineLevel="0" collapsed="false">
      <c r="A144" s="5" t="s">
        <v>296</v>
      </c>
      <c r="B144" s="5" t="s">
        <v>1243</v>
      </c>
      <c r="C144" s="5" t="s">
        <v>49</v>
      </c>
      <c r="D144" s="5" t="s">
        <v>1244</v>
      </c>
      <c r="E144" s="5" t="s">
        <v>1245</v>
      </c>
      <c r="F144" s="5" t="s">
        <v>1246</v>
      </c>
      <c r="G144" s="5" t="s">
        <v>815</v>
      </c>
      <c r="H144" s="5" t="s">
        <v>801</v>
      </c>
    </row>
    <row r="145" customFormat="false" ht="23.85" hidden="false" customHeight="false" outlineLevel="0" collapsed="false">
      <c r="A145" s="5" t="s">
        <v>298</v>
      </c>
      <c r="B145" s="5" t="s">
        <v>1247</v>
      </c>
      <c r="C145" s="5" t="s">
        <v>46</v>
      </c>
      <c r="D145" s="5" t="s">
        <v>1248</v>
      </c>
      <c r="E145" s="5" t="s">
        <v>1249</v>
      </c>
      <c r="F145" s="5" t="s">
        <v>1250</v>
      </c>
      <c r="G145" s="5" t="s">
        <v>800</v>
      </c>
      <c r="H145" s="5" t="s">
        <v>801</v>
      </c>
    </row>
    <row r="146" customFormat="false" ht="23.85" hidden="false" customHeight="false" outlineLevel="0" collapsed="false">
      <c r="A146" s="5" t="s">
        <v>300</v>
      </c>
      <c r="B146" s="5" t="s">
        <v>1251</v>
      </c>
      <c r="C146" s="5" t="s">
        <v>54</v>
      </c>
      <c r="D146" s="5" t="s">
        <v>1252</v>
      </c>
      <c r="E146" s="5" t="s">
        <v>1253</v>
      </c>
      <c r="F146" s="5" t="s">
        <v>1254</v>
      </c>
      <c r="G146" s="5" t="s">
        <v>800</v>
      </c>
      <c r="H146" s="5" t="s">
        <v>801</v>
      </c>
    </row>
    <row r="147" customFormat="false" ht="23.85" hidden="false" customHeight="false" outlineLevel="0" collapsed="false">
      <c r="A147" s="5" t="s">
        <v>302</v>
      </c>
      <c r="B147" s="5" t="s">
        <v>1255</v>
      </c>
      <c r="C147" s="5" t="s">
        <v>32</v>
      </c>
      <c r="D147" s="5" t="s">
        <v>1256</v>
      </c>
      <c r="E147" s="5" t="s">
        <v>1257</v>
      </c>
      <c r="F147" s="5" t="s">
        <v>799</v>
      </c>
      <c r="G147" s="5" t="s">
        <v>852</v>
      </c>
      <c r="H147" s="5" t="s">
        <v>801</v>
      </c>
    </row>
    <row r="148" customFormat="false" ht="23.85" hidden="false" customHeight="false" outlineLevel="0" collapsed="false">
      <c r="A148" s="5" t="s">
        <v>304</v>
      </c>
      <c r="B148" s="5" t="s">
        <v>1258</v>
      </c>
      <c r="C148" s="5" t="s">
        <v>80</v>
      </c>
      <c r="D148" s="5" t="s">
        <v>1259</v>
      </c>
      <c r="E148" s="5" t="s">
        <v>1260</v>
      </c>
      <c r="F148" s="5" t="s">
        <v>1261</v>
      </c>
      <c r="G148" s="5" t="s">
        <v>862</v>
      </c>
      <c r="H148" s="5" t="s">
        <v>801</v>
      </c>
    </row>
    <row r="149" customFormat="false" ht="15" hidden="false" customHeight="false" outlineLevel="0" collapsed="false">
      <c r="A149" s="5" t="s">
        <v>306</v>
      </c>
      <c r="B149" s="5" t="s">
        <v>1262</v>
      </c>
      <c r="C149" s="5" t="s">
        <v>67</v>
      </c>
      <c r="D149" s="5" t="s">
        <v>1263</v>
      </c>
      <c r="E149" s="5" t="s">
        <v>1264</v>
      </c>
      <c r="F149" s="5" t="s">
        <v>799</v>
      </c>
      <c r="G149" s="5" t="s">
        <v>852</v>
      </c>
      <c r="H149" s="5" t="s">
        <v>801</v>
      </c>
    </row>
    <row r="150" customFormat="false" ht="15" hidden="false" customHeight="false" outlineLevel="0" collapsed="false">
      <c r="A150" s="5" t="s">
        <v>308</v>
      </c>
      <c r="B150" s="5" t="s">
        <v>1265</v>
      </c>
      <c r="C150" s="5" t="s">
        <v>49</v>
      </c>
      <c r="D150" s="5" t="s">
        <v>1266</v>
      </c>
      <c r="E150" s="5" t="s">
        <v>1267</v>
      </c>
      <c r="F150" s="5" t="s">
        <v>1268</v>
      </c>
      <c r="G150" s="5" t="s">
        <v>828</v>
      </c>
      <c r="H150" s="5" t="s">
        <v>801</v>
      </c>
    </row>
    <row r="151" customFormat="false" ht="23.85" hidden="false" customHeight="false" outlineLevel="0" collapsed="false">
      <c r="A151" s="5" t="s">
        <v>310</v>
      </c>
      <c r="B151" s="5" t="s">
        <v>1269</v>
      </c>
      <c r="C151" s="5" t="s">
        <v>43</v>
      </c>
      <c r="D151" s="5" t="s">
        <v>1270</v>
      </c>
      <c r="E151" s="5" t="s">
        <v>1271</v>
      </c>
      <c r="F151" s="5" t="s">
        <v>1272</v>
      </c>
      <c r="G151" s="5" t="s">
        <v>857</v>
      </c>
      <c r="H151" s="5" t="s">
        <v>801</v>
      </c>
    </row>
    <row r="152" customFormat="false" ht="15" hidden="false" customHeight="false" outlineLevel="0" collapsed="false">
      <c r="A152" s="5" t="s">
        <v>312</v>
      </c>
      <c r="B152" s="5" t="s">
        <v>1273</v>
      </c>
      <c r="C152" s="5" t="s">
        <v>27</v>
      </c>
      <c r="D152" s="5" t="s">
        <v>1274</v>
      </c>
      <c r="E152" s="5" t="s">
        <v>1275</v>
      </c>
      <c r="F152" s="5" t="s">
        <v>1276</v>
      </c>
      <c r="G152" s="5" t="s">
        <v>828</v>
      </c>
      <c r="H152" s="5" t="s">
        <v>801</v>
      </c>
    </row>
    <row r="153" customFormat="false" ht="23.85" hidden="false" customHeight="false" outlineLevel="0" collapsed="false">
      <c r="A153" s="5" t="s">
        <v>314</v>
      </c>
      <c r="B153" s="5" t="s">
        <v>1277</v>
      </c>
      <c r="C153" s="5" t="s">
        <v>80</v>
      </c>
      <c r="D153" s="5" t="s">
        <v>1278</v>
      </c>
      <c r="E153" s="5" t="s">
        <v>1279</v>
      </c>
      <c r="F153" s="5" t="s">
        <v>936</v>
      </c>
      <c r="G153" s="5" t="s">
        <v>800</v>
      </c>
      <c r="H153" s="5" t="s">
        <v>801</v>
      </c>
    </row>
    <row r="154" customFormat="false" ht="15" hidden="false" customHeight="false" outlineLevel="0" collapsed="false">
      <c r="A154" s="5" t="s">
        <v>316</v>
      </c>
      <c r="B154" s="5" t="s">
        <v>1280</v>
      </c>
      <c r="C154" s="5" t="s">
        <v>35</v>
      </c>
      <c r="D154" s="5" t="s">
        <v>1281</v>
      </c>
      <c r="E154" s="5" t="s">
        <v>1282</v>
      </c>
      <c r="F154" s="5" t="s">
        <v>1283</v>
      </c>
      <c r="G154" s="5" t="s">
        <v>810</v>
      </c>
      <c r="H154" s="5" t="s">
        <v>801</v>
      </c>
    </row>
    <row r="155" customFormat="false" ht="15" hidden="false" customHeight="false" outlineLevel="0" collapsed="false">
      <c r="A155" s="5" t="s">
        <v>318</v>
      </c>
      <c r="B155" s="5" t="s">
        <v>1284</v>
      </c>
      <c r="C155" s="5" t="s">
        <v>32</v>
      </c>
      <c r="D155" s="5" t="s">
        <v>1285</v>
      </c>
      <c r="E155" s="5" t="s">
        <v>1286</v>
      </c>
      <c r="F155" s="5" t="s">
        <v>1287</v>
      </c>
      <c r="G155" s="5" t="s">
        <v>815</v>
      </c>
      <c r="H155" s="5" t="s">
        <v>801</v>
      </c>
    </row>
    <row r="156" customFormat="false" ht="15" hidden="false" customHeight="false" outlineLevel="0" collapsed="false">
      <c r="A156" s="5" t="s">
        <v>320</v>
      </c>
      <c r="B156" s="5" t="s">
        <v>1288</v>
      </c>
      <c r="C156" s="5" t="s">
        <v>54</v>
      </c>
      <c r="D156" s="5" t="s">
        <v>1289</v>
      </c>
      <c r="E156" s="5" t="s">
        <v>1290</v>
      </c>
      <c r="F156" s="5" t="s">
        <v>1291</v>
      </c>
      <c r="G156" s="5" t="s">
        <v>852</v>
      </c>
      <c r="H156" s="5" t="s">
        <v>801</v>
      </c>
    </row>
    <row r="157" customFormat="false" ht="23.85" hidden="false" customHeight="false" outlineLevel="0" collapsed="false">
      <c r="A157" s="5" t="s">
        <v>322</v>
      </c>
      <c r="B157" s="5" t="s">
        <v>1292</v>
      </c>
      <c r="C157" s="5" t="s">
        <v>54</v>
      </c>
      <c r="D157" s="5" t="s">
        <v>1293</v>
      </c>
      <c r="E157" s="5" t="s">
        <v>1294</v>
      </c>
      <c r="F157" s="5" t="s">
        <v>1295</v>
      </c>
      <c r="G157" s="5" t="s">
        <v>852</v>
      </c>
      <c r="H157" s="5" t="s">
        <v>801</v>
      </c>
    </row>
    <row r="158" customFormat="false" ht="23.85" hidden="false" customHeight="false" outlineLevel="0" collapsed="false">
      <c r="A158" s="5" t="s">
        <v>324</v>
      </c>
      <c r="B158" s="5" t="s">
        <v>1296</v>
      </c>
      <c r="C158" s="5" t="s">
        <v>80</v>
      </c>
      <c r="D158" s="5" t="s">
        <v>1297</v>
      </c>
      <c r="E158" s="5" t="s">
        <v>1298</v>
      </c>
      <c r="F158" s="5" t="s">
        <v>809</v>
      </c>
      <c r="G158" s="5" t="s">
        <v>857</v>
      </c>
      <c r="H158" s="5" t="s">
        <v>801</v>
      </c>
    </row>
    <row r="159" customFormat="false" ht="23.85" hidden="false" customHeight="false" outlineLevel="0" collapsed="false">
      <c r="A159" s="5" t="s">
        <v>326</v>
      </c>
      <c r="B159" s="5" t="s">
        <v>1299</v>
      </c>
      <c r="C159" s="5" t="s">
        <v>49</v>
      </c>
      <c r="D159" s="5" t="s">
        <v>1300</v>
      </c>
      <c r="E159" s="5" t="s">
        <v>1301</v>
      </c>
      <c r="F159" s="5" t="s">
        <v>1194</v>
      </c>
      <c r="G159" s="5" t="s">
        <v>862</v>
      </c>
      <c r="H159" s="5" t="s">
        <v>801</v>
      </c>
    </row>
    <row r="160" customFormat="false" ht="23.85" hidden="false" customHeight="false" outlineLevel="0" collapsed="false">
      <c r="A160" s="5" t="s">
        <v>328</v>
      </c>
      <c r="B160" s="5" t="s">
        <v>1302</v>
      </c>
      <c r="C160" s="5" t="s">
        <v>67</v>
      </c>
      <c r="D160" s="5" t="s">
        <v>1303</v>
      </c>
      <c r="E160" s="5" t="s">
        <v>1304</v>
      </c>
      <c r="F160" s="5" t="s">
        <v>809</v>
      </c>
      <c r="G160" s="5" t="s">
        <v>852</v>
      </c>
      <c r="H160" s="5" t="s">
        <v>801</v>
      </c>
    </row>
    <row r="161" customFormat="false" ht="15" hidden="false" customHeight="false" outlineLevel="0" collapsed="false">
      <c r="A161" s="5" t="s">
        <v>330</v>
      </c>
      <c r="B161" s="5" t="s">
        <v>1305</v>
      </c>
      <c r="C161" s="5" t="s">
        <v>27</v>
      </c>
      <c r="D161" s="5" t="s">
        <v>1306</v>
      </c>
      <c r="E161" s="5" t="s">
        <v>1307</v>
      </c>
      <c r="F161" s="5" t="s">
        <v>809</v>
      </c>
      <c r="G161" s="5" t="s">
        <v>857</v>
      </c>
      <c r="H161" s="5" t="s">
        <v>801</v>
      </c>
    </row>
    <row r="162" customFormat="false" ht="23.85" hidden="false" customHeight="false" outlineLevel="0" collapsed="false">
      <c r="A162" s="5" t="s">
        <v>332</v>
      </c>
      <c r="B162" s="5" t="s">
        <v>1308</v>
      </c>
      <c r="C162" s="5" t="s">
        <v>46</v>
      </c>
      <c r="D162" s="5" t="s">
        <v>1309</v>
      </c>
      <c r="E162" s="5" t="s">
        <v>1310</v>
      </c>
      <c r="F162" s="5" t="s">
        <v>1268</v>
      </c>
      <c r="G162" s="5" t="s">
        <v>828</v>
      </c>
      <c r="H162" s="5" t="s">
        <v>801</v>
      </c>
    </row>
    <row r="163" customFormat="false" ht="23.85" hidden="false" customHeight="false" outlineLevel="0" collapsed="false">
      <c r="A163" s="5" t="s">
        <v>334</v>
      </c>
      <c r="B163" s="5" t="s">
        <v>1311</v>
      </c>
      <c r="C163" s="5" t="s">
        <v>43</v>
      </c>
      <c r="D163" s="5" t="s">
        <v>1312</v>
      </c>
      <c r="E163" s="5" t="s">
        <v>1313</v>
      </c>
      <c r="F163" s="5" t="s">
        <v>1314</v>
      </c>
      <c r="G163" s="5" t="s">
        <v>800</v>
      </c>
      <c r="H163" s="5" t="s">
        <v>801</v>
      </c>
    </row>
    <row r="164" customFormat="false" ht="23.85" hidden="false" customHeight="false" outlineLevel="0" collapsed="false">
      <c r="A164" s="5" t="s">
        <v>336</v>
      </c>
      <c r="B164" s="5" t="s">
        <v>1315</v>
      </c>
      <c r="C164" s="5" t="s">
        <v>35</v>
      </c>
      <c r="D164" s="5" t="s">
        <v>1316</v>
      </c>
      <c r="E164" s="5" t="s">
        <v>1317</v>
      </c>
      <c r="F164" s="5" t="s">
        <v>1318</v>
      </c>
      <c r="G164" s="5" t="s">
        <v>815</v>
      </c>
      <c r="H164" s="5" t="s">
        <v>801</v>
      </c>
    </row>
    <row r="165" customFormat="false" ht="23.85" hidden="false" customHeight="false" outlineLevel="0" collapsed="false">
      <c r="A165" s="5" t="s">
        <v>338</v>
      </c>
      <c r="B165" s="5" t="s">
        <v>1319</v>
      </c>
      <c r="C165" s="5" t="s">
        <v>49</v>
      </c>
      <c r="D165" s="5" t="s">
        <v>1320</v>
      </c>
      <c r="E165" s="5" t="s">
        <v>1321</v>
      </c>
      <c r="F165" s="5" t="s">
        <v>1322</v>
      </c>
      <c r="G165" s="5" t="s">
        <v>828</v>
      </c>
      <c r="H165" s="5" t="s">
        <v>801</v>
      </c>
    </row>
    <row r="166" customFormat="false" ht="23.85" hidden="false" customHeight="false" outlineLevel="0" collapsed="false">
      <c r="A166" s="5" t="s">
        <v>340</v>
      </c>
      <c r="B166" s="5" t="s">
        <v>1323</v>
      </c>
      <c r="C166" s="5" t="s">
        <v>32</v>
      </c>
      <c r="D166" s="5" t="s">
        <v>1324</v>
      </c>
      <c r="E166" s="5" t="s">
        <v>1325</v>
      </c>
      <c r="F166" s="5" t="s">
        <v>809</v>
      </c>
      <c r="G166" s="5" t="s">
        <v>800</v>
      </c>
      <c r="H166" s="5" t="s">
        <v>801</v>
      </c>
    </row>
    <row r="167" customFormat="false" ht="15" hidden="false" customHeight="false" outlineLevel="0" collapsed="false">
      <c r="A167" s="5" t="s">
        <v>342</v>
      </c>
      <c r="B167" s="5" t="s">
        <v>1209</v>
      </c>
      <c r="C167" s="5" t="s">
        <v>80</v>
      </c>
      <c r="D167" s="5" t="s">
        <v>1326</v>
      </c>
      <c r="E167" s="5" t="s">
        <v>1327</v>
      </c>
      <c r="F167" s="5" t="s">
        <v>1328</v>
      </c>
      <c r="G167" s="5" t="s">
        <v>800</v>
      </c>
      <c r="H167" s="5" t="s">
        <v>801</v>
      </c>
    </row>
    <row r="168" customFormat="false" ht="23.85" hidden="false" customHeight="false" outlineLevel="0" collapsed="false">
      <c r="A168" s="5" t="s">
        <v>344</v>
      </c>
      <c r="B168" s="5" t="s">
        <v>1329</v>
      </c>
      <c r="C168" s="5" t="s">
        <v>43</v>
      </c>
      <c r="D168" s="5" t="s">
        <v>1330</v>
      </c>
      <c r="E168" s="5" t="s">
        <v>1331</v>
      </c>
      <c r="F168" s="5" t="s">
        <v>1332</v>
      </c>
      <c r="G168" s="5" t="s">
        <v>857</v>
      </c>
      <c r="H168" s="5" t="s">
        <v>801</v>
      </c>
    </row>
    <row r="169" customFormat="false" ht="15" hidden="false" customHeight="false" outlineLevel="0" collapsed="false">
      <c r="A169" s="5" t="s">
        <v>346</v>
      </c>
      <c r="B169" s="5" t="s">
        <v>1333</v>
      </c>
      <c r="C169" s="5" t="s">
        <v>67</v>
      </c>
      <c r="D169" s="5" t="s">
        <v>1334</v>
      </c>
      <c r="E169" s="5" t="s">
        <v>1335</v>
      </c>
      <c r="F169" s="5" t="s">
        <v>809</v>
      </c>
      <c r="G169" s="5" t="s">
        <v>862</v>
      </c>
      <c r="H169" s="5" t="s">
        <v>801</v>
      </c>
    </row>
    <row r="170" customFormat="false" ht="23.85" hidden="false" customHeight="false" outlineLevel="0" collapsed="false">
      <c r="A170" s="5" t="s">
        <v>348</v>
      </c>
      <c r="B170" s="5" t="s">
        <v>1336</v>
      </c>
      <c r="C170" s="5" t="s">
        <v>38</v>
      </c>
      <c r="D170" s="5" t="s">
        <v>1337</v>
      </c>
      <c r="E170" s="5" t="s">
        <v>1338</v>
      </c>
      <c r="F170" s="5" t="s">
        <v>809</v>
      </c>
      <c r="G170" s="5" t="s">
        <v>852</v>
      </c>
      <c r="H170" s="5" t="s">
        <v>801</v>
      </c>
    </row>
    <row r="171" customFormat="false" ht="23.85" hidden="false" customHeight="false" outlineLevel="0" collapsed="false">
      <c r="A171" s="5" t="s">
        <v>350</v>
      </c>
      <c r="B171" s="5" t="s">
        <v>1339</v>
      </c>
      <c r="C171" s="5" t="s">
        <v>27</v>
      </c>
      <c r="D171" s="5" t="s">
        <v>1340</v>
      </c>
      <c r="E171" s="5" t="s">
        <v>1341</v>
      </c>
      <c r="F171" s="5" t="s">
        <v>1342</v>
      </c>
      <c r="G171" s="5" t="s">
        <v>800</v>
      </c>
      <c r="H171" s="5" t="s">
        <v>801</v>
      </c>
    </row>
    <row r="172" customFormat="false" ht="23.85" hidden="false" customHeight="false" outlineLevel="0" collapsed="false">
      <c r="A172" s="5" t="s">
        <v>352</v>
      </c>
      <c r="B172" s="5" t="s">
        <v>1343</v>
      </c>
      <c r="C172" s="5" t="s">
        <v>54</v>
      </c>
      <c r="D172" s="5" t="s">
        <v>1344</v>
      </c>
      <c r="E172" s="5" t="s">
        <v>1345</v>
      </c>
      <c r="F172" s="5" t="s">
        <v>1346</v>
      </c>
      <c r="G172" s="5" t="s">
        <v>815</v>
      </c>
      <c r="H172" s="5" t="s">
        <v>801</v>
      </c>
    </row>
    <row r="173" customFormat="false" ht="23.85" hidden="false" customHeight="false" outlineLevel="0" collapsed="false">
      <c r="A173" s="5" t="s">
        <v>354</v>
      </c>
      <c r="B173" s="5" t="s">
        <v>1347</v>
      </c>
      <c r="C173" s="5" t="s">
        <v>35</v>
      </c>
      <c r="D173" s="5" t="s">
        <v>1348</v>
      </c>
      <c r="E173" s="5" t="s">
        <v>1349</v>
      </c>
      <c r="F173" s="5" t="s">
        <v>1350</v>
      </c>
      <c r="G173" s="5" t="s">
        <v>810</v>
      </c>
      <c r="H173" s="5" t="s">
        <v>801</v>
      </c>
    </row>
    <row r="174" customFormat="false" ht="23.85" hidden="false" customHeight="false" outlineLevel="0" collapsed="false">
      <c r="A174" s="5" t="s">
        <v>356</v>
      </c>
      <c r="B174" s="5" t="s">
        <v>1351</v>
      </c>
      <c r="C174" s="5" t="s">
        <v>67</v>
      </c>
      <c r="D174" s="5" t="s">
        <v>1352</v>
      </c>
      <c r="E174" s="5" t="s">
        <v>1353</v>
      </c>
      <c r="F174" s="5" t="s">
        <v>809</v>
      </c>
      <c r="G174" s="5" t="s">
        <v>832</v>
      </c>
      <c r="H174" s="5" t="s">
        <v>801</v>
      </c>
    </row>
    <row r="175" customFormat="false" ht="15" hidden="false" customHeight="false" outlineLevel="0" collapsed="false">
      <c r="A175" s="5" t="s">
        <v>358</v>
      </c>
      <c r="B175" s="5" t="s">
        <v>1354</v>
      </c>
      <c r="C175" s="5" t="s">
        <v>49</v>
      </c>
      <c r="D175" s="5" t="s">
        <v>995</v>
      </c>
      <c r="E175" s="5" t="s">
        <v>996</v>
      </c>
      <c r="F175" s="5" t="s">
        <v>809</v>
      </c>
      <c r="G175" s="5" t="s">
        <v>809</v>
      </c>
      <c r="H175" s="5" t="s">
        <v>801</v>
      </c>
    </row>
    <row r="176" customFormat="false" ht="15" hidden="false" customHeight="false" outlineLevel="0" collapsed="false">
      <c r="A176" s="5" t="s">
        <v>360</v>
      </c>
      <c r="B176" s="5" t="s">
        <v>1355</v>
      </c>
      <c r="C176" s="5" t="s">
        <v>49</v>
      </c>
      <c r="D176" s="5" t="s">
        <v>995</v>
      </c>
      <c r="E176" s="5" t="s">
        <v>996</v>
      </c>
      <c r="F176" s="5" t="s">
        <v>809</v>
      </c>
      <c r="G176" s="5" t="s">
        <v>809</v>
      </c>
      <c r="H176" s="5" t="s">
        <v>801</v>
      </c>
    </row>
    <row r="177" customFormat="false" ht="15" hidden="false" customHeight="false" outlineLevel="0" collapsed="false">
      <c r="A177" s="5" t="s">
        <v>362</v>
      </c>
      <c r="B177" s="5" t="s">
        <v>1356</v>
      </c>
      <c r="C177" s="5" t="s">
        <v>54</v>
      </c>
      <c r="D177" s="5" t="s">
        <v>995</v>
      </c>
      <c r="E177" s="5" t="s">
        <v>996</v>
      </c>
      <c r="F177" s="5" t="s">
        <v>809</v>
      </c>
      <c r="G177" s="5" t="s">
        <v>809</v>
      </c>
      <c r="H177" s="5" t="s">
        <v>801</v>
      </c>
    </row>
    <row r="178" customFormat="false" ht="15" hidden="false" customHeight="false" outlineLevel="0" collapsed="false">
      <c r="A178" s="5" t="s">
        <v>364</v>
      </c>
      <c r="B178" s="5" t="s">
        <v>1357</v>
      </c>
      <c r="C178" s="5" t="s">
        <v>27</v>
      </c>
      <c r="D178" s="5" t="s">
        <v>995</v>
      </c>
      <c r="E178" s="5" t="s">
        <v>996</v>
      </c>
      <c r="F178" s="5" t="s">
        <v>809</v>
      </c>
      <c r="G178" s="5" t="s">
        <v>809</v>
      </c>
      <c r="H178" s="5" t="s">
        <v>801</v>
      </c>
    </row>
    <row r="179" customFormat="false" ht="15" hidden="false" customHeight="false" outlineLevel="0" collapsed="false">
      <c r="A179" s="5" t="s">
        <v>366</v>
      </c>
      <c r="B179" s="5" t="s">
        <v>1358</v>
      </c>
      <c r="C179" s="5" t="s">
        <v>67</v>
      </c>
      <c r="D179" s="5" t="s">
        <v>995</v>
      </c>
      <c r="E179" s="5" t="s">
        <v>996</v>
      </c>
      <c r="F179" s="5" t="s">
        <v>809</v>
      </c>
      <c r="G179" s="5" t="s">
        <v>809</v>
      </c>
      <c r="H179" s="5" t="s">
        <v>801</v>
      </c>
    </row>
    <row r="180" customFormat="false" ht="15" hidden="false" customHeight="false" outlineLevel="0" collapsed="false">
      <c r="A180" s="5" t="s">
        <v>368</v>
      </c>
      <c r="B180" s="5" t="s">
        <v>1359</v>
      </c>
      <c r="C180" s="5" t="s">
        <v>43</v>
      </c>
      <c r="D180" s="5" t="s">
        <v>995</v>
      </c>
      <c r="E180" s="5" t="s">
        <v>996</v>
      </c>
      <c r="F180" s="5" t="s">
        <v>799</v>
      </c>
      <c r="G180" s="5" t="s">
        <v>809</v>
      </c>
      <c r="H180" s="5" t="s">
        <v>801</v>
      </c>
    </row>
    <row r="181" customFormat="false" ht="23.85" hidden="false" customHeight="false" outlineLevel="0" collapsed="false">
      <c r="A181" s="5" t="s">
        <v>370</v>
      </c>
      <c r="B181" s="5" t="s">
        <v>1360</v>
      </c>
      <c r="C181" s="5" t="s">
        <v>38</v>
      </c>
      <c r="D181" s="5" t="s">
        <v>995</v>
      </c>
      <c r="E181" s="5" t="s">
        <v>996</v>
      </c>
      <c r="F181" s="5" t="s">
        <v>809</v>
      </c>
      <c r="G181" s="5" t="s">
        <v>809</v>
      </c>
      <c r="H181" s="5" t="s">
        <v>801</v>
      </c>
    </row>
    <row r="182" customFormat="false" ht="15" hidden="false" customHeight="false" outlineLevel="0" collapsed="false">
      <c r="A182" s="5" t="s">
        <v>372</v>
      </c>
      <c r="B182" s="5" t="s">
        <v>1361</v>
      </c>
      <c r="C182" s="5" t="s">
        <v>35</v>
      </c>
      <c r="D182" s="5" t="s">
        <v>995</v>
      </c>
      <c r="E182" s="5" t="s">
        <v>996</v>
      </c>
      <c r="F182" s="5" t="s">
        <v>809</v>
      </c>
      <c r="G182" s="5" t="s">
        <v>809</v>
      </c>
      <c r="H182" s="5" t="s">
        <v>801</v>
      </c>
    </row>
    <row r="183" customFormat="false" ht="15" hidden="false" customHeight="false" outlineLevel="0" collapsed="false">
      <c r="A183" s="5" t="s">
        <v>374</v>
      </c>
      <c r="B183" s="5" t="s">
        <v>1362</v>
      </c>
      <c r="C183" s="5" t="s">
        <v>80</v>
      </c>
      <c r="D183" s="5" t="s">
        <v>995</v>
      </c>
      <c r="E183" s="5" t="s">
        <v>996</v>
      </c>
      <c r="F183" s="5" t="s">
        <v>823</v>
      </c>
      <c r="G183" s="5" t="s">
        <v>809</v>
      </c>
      <c r="H183" s="5" t="s">
        <v>801</v>
      </c>
    </row>
    <row r="184" customFormat="false" ht="15" hidden="false" customHeight="false" outlineLevel="0" collapsed="false">
      <c r="A184" s="5" t="s">
        <v>376</v>
      </c>
      <c r="B184" s="5" t="s">
        <v>1363</v>
      </c>
      <c r="C184" s="5" t="s">
        <v>32</v>
      </c>
      <c r="D184" s="5" t="s">
        <v>995</v>
      </c>
      <c r="E184" s="5" t="s">
        <v>996</v>
      </c>
      <c r="F184" s="5" t="s">
        <v>1272</v>
      </c>
      <c r="G184" s="5" t="s">
        <v>809</v>
      </c>
      <c r="H184" s="5" t="s">
        <v>801</v>
      </c>
    </row>
    <row r="185" customFormat="false" ht="15" hidden="false" customHeight="false" outlineLevel="0" collapsed="false">
      <c r="A185" s="5" t="s">
        <v>378</v>
      </c>
      <c r="B185" s="5" t="s">
        <v>1364</v>
      </c>
      <c r="C185" s="5" t="s">
        <v>54</v>
      </c>
      <c r="D185" s="5" t="s">
        <v>995</v>
      </c>
      <c r="E185" s="5" t="s">
        <v>996</v>
      </c>
      <c r="F185" s="5" t="s">
        <v>809</v>
      </c>
      <c r="G185" s="5" t="s">
        <v>809</v>
      </c>
      <c r="H185" s="5" t="s">
        <v>801</v>
      </c>
    </row>
    <row r="186" customFormat="false" ht="15" hidden="false" customHeight="false" outlineLevel="0" collapsed="false">
      <c r="A186" s="5" t="s">
        <v>380</v>
      </c>
      <c r="B186" s="5" t="s">
        <v>1365</v>
      </c>
      <c r="C186" s="5" t="s">
        <v>67</v>
      </c>
      <c r="D186" s="5" t="s">
        <v>995</v>
      </c>
      <c r="E186" s="5" t="s">
        <v>996</v>
      </c>
      <c r="F186" s="5" t="s">
        <v>809</v>
      </c>
      <c r="G186" s="5" t="s">
        <v>809</v>
      </c>
      <c r="H186" s="5" t="s">
        <v>801</v>
      </c>
    </row>
    <row r="187" customFormat="false" ht="23.85" hidden="false" customHeight="false" outlineLevel="0" collapsed="false">
      <c r="A187" s="5" t="s">
        <v>382</v>
      </c>
      <c r="B187" s="5" t="s">
        <v>1366</v>
      </c>
      <c r="C187" s="5" t="s">
        <v>43</v>
      </c>
      <c r="D187" s="5" t="s">
        <v>995</v>
      </c>
      <c r="E187" s="5" t="s">
        <v>996</v>
      </c>
      <c r="F187" s="5" t="s">
        <v>809</v>
      </c>
      <c r="G187" s="5" t="s">
        <v>809</v>
      </c>
      <c r="H187" s="5" t="s">
        <v>801</v>
      </c>
    </row>
    <row r="188" customFormat="false" ht="15" hidden="false" customHeight="false" outlineLevel="0" collapsed="false">
      <c r="A188" s="5" t="s">
        <v>384</v>
      </c>
      <c r="B188" s="5" t="s">
        <v>1367</v>
      </c>
      <c r="C188" s="5" t="s">
        <v>49</v>
      </c>
      <c r="D188" s="5" t="s">
        <v>995</v>
      </c>
      <c r="E188" s="5" t="s">
        <v>996</v>
      </c>
      <c r="F188" s="5" t="s">
        <v>809</v>
      </c>
      <c r="G188" s="5" t="s">
        <v>809</v>
      </c>
      <c r="H188" s="5" t="s">
        <v>801</v>
      </c>
    </row>
    <row r="189" customFormat="false" ht="15" hidden="false" customHeight="false" outlineLevel="0" collapsed="false">
      <c r="A189" s="5" t="s">
        <v>386</v>
      </c>
      <c r="B189" s="5" t="s">
        <v>1368</v>
      </c>
      <c r="C189" s="5" t="s">
        <v>43</v>
      </c>
      <c r="D189" s="5" t="s">
        <v>995</v>
      </c>
      <c r="E189" s="5" t="s">
        <v>996</v>
      </c>
      <c r="F189" s="5" t="s">
        <v>809</v>
      </c>
      <c r="G189" s="5" t="s">
        <v>809</v>
      </c>
      <c r="H189" s="5" t="s">
        <v>801</v>
      </c>
    </row>
    <row r="190" customFormat="false" ht="15" hidden="false" customHeight="false" outlineLevel="0" collapsed="false">
      <c r="A190" s="5" t="s">
        <v>388</v>
      </c>
      <c r="B190" s="5" t="s">
        <v>1369</v>
      </c>
      <c r="C190" s="5" t="s">
        <v>67</v>
      </c>
      <c r="D190" s="5" t="s">
        <v>1370</v>
      </c>
      <c r="E190" s="5" t="s">
        <v>1371</v>
      </c>
      <c r="F190" s="5" t="s">
        <v>1372</v>
      </c>
      <c r="G190" s="5" t="s">
        <v>852</v>
      </c>
      <c r="H190" s="5" t="s">
        <v>801</v>
      </c>
    </row>
    <row r="191" customFormat="false" ht="23.85" hidden="false" customHeight="false" outlineLevel="0" collapsed="false">
      <c r="A191" s="5" t="s">
        <v>388</v>
      </c>
      <c r="B191" s="5" t="s">
        <v>1373</v>
      </c>
      <c r="C191" s="5" t="s">
        <v>43</v>
      </c>
      <c r="D191" s="5" t="s">
        <v>1374</v>
      </c>
      <c r="E191" s="5" t="s">
        <v>1375</v>
      </c>
      <c r="F191" s="5" t="s">
        <v>1022</v>
      </c>
      <c r="G191" s="5" t="s">
        <v>857</v>
      </c>
      <c r="H191" s="5" t="s">
        <v>801</v>
      </c>
    </row>
    <row r="192" customFormat="false" ht="23.85" hidden="false" customHeight="false" outlineLevel="0" collapsed="false">
      <c r="A192" s="5" t="s">
        <v>390</v>
      </c>
      <c r="B192" s="5" t="s">
        <v>1376</v>
      </c>
      <c r="C192" s="5" t="s">
        <v>27</v>
      </c>
      <c r="D192" s="5" t="s">
        <v>1377</v>
      </c>
      <c r="E192" s="5" t="s">
        <v>1378</v>
      </c>
      <c r="F192" s="5" t="s">
        <v>809</v>
      </c>
      <c r="G192" s="5" t="s">
        <v>862</v>
      </c>
      <c r="H192" s="5" t="s">
        <v>801</v>
      </c>
    </row>
    <row r="193" customFormat="false" ht="15" hidden="false" customHeight="false" outlineLevel="0" collapsed="false">
      <c r="A193" s="5" t="s">
        <v>390</v>
      </c>
      <c r="B193" s="5" t="s">
        <v>1379</v>
      </c>
      <c r="C193" s="5" t="s">
        <v>49</v>
      </c>
      <c r="D193" s="5" t="s">
        <v>1380</v>
      </c>
      <c r="E193" s="5" t="s">
        <v>1381</v>
      </c>
      <c r="F193" s="5" t="s">
        <v>1022</v>
      </c>
      <c r="G193" s="5" t="s">
        <v>862</v>
      </c>
      <c r="H193" s="5" t="s">
        <v>801</v>
      </c>
    </row>
    <row r="194" customFormat="false" ht="15" hidden="false" customHeight="false" outlineLevel="0" collapsed="false">
      <c r="A194" s="5" t="s">
        <v>392</v>
      </c>
      <c r="B194" s="5" t="s">
        <v>1382</v>
      </c>
      <c r="C194" s="5" t="s">
        <v>67</v>
      </c>
      <c r="D194" s="5" t="s">
        <v>1383</v>
      </c>
      <c r="E194" s="5" t="s">
        <v>1384</v>
      </c>
      <c r="F194" s="5" t="s">
        <v>1385</v>
      </c>
      <c r="G194" s="5" t="s">
        <v>800</v>
      </c>
      <c r="H194" s="5" t="s">
        <v>801</v>
      </c>
    </row>
    <row r="195" customFormat="false" ht="23.85" hidden="false" customHeight="false" outlineLevel="0" collapsed="false">
      <c r="A195" s="5" t="s">
        <v>392</v>
      </c>
      <c r="B195" s="5" t="s">
        <v>1386</v>
      </c>
      <c r="C195" s="5" t="s">
        <v>54</v>
      </c>
      <c r="D195" s="5" t="s">
        <v>1387</v>
      </c>
      <c r="E195" s="5" t="s">
        <v>1388</v>
      </c>
      <c r="F195" s="5" t="s">
        <v>1022</v>
      </c>
      <c r="G195" s="5" t="s">
        <v>800</v>
      </c>
      <c r="H195" s="5" t="s">
        <v>801</v>
      </c>
    </row>
    <row r="196" customFormat="false" ht="23.85" hidden="false" customHeight="false" outlineLevel="0" collapsed="false">
      <c r="A196" s="5" t="s">
        <v>395</v>
      </c>
      <c r="B196" s="5" t="s">
        <v>1389</v>
      </c>
      <c r="C196" s="5" t="s">
        <v>27</v>
      </c>
      <c r="D196" s="5" t="s">
        <v>1390</v>
      </c>
      <c r="E196" s="5" t="s">
        <v>1391</v>
      </c>
      <c r="F196" s="5" t="s">
        <v>1392</v>
      </c>
      <c r="G196" s="5" t="s">
        <v>828</v>
      </c>
      <c r="H196" s="5" t="s">
        <v>801</v>
      </c>
    </row>
    <row r="197" customFormat="false" ht="23.85" hidden="false" customHeight="false" outlineLevel="0" collapsed="false">
      <c r="A197" s="5" t="s">
        <v>395</v>
      </c>
      <c r="B197" s="5" t="s">
        <v>1393</v>
      </c>
      <c r="C197" s="5" t="s">
        <v>35</v>
      </c>
      <c r="D197" s="5" t="s">
        <v>1394</v>
      </c>
      <c r="E197" s="5" t="s">
        <v>1395</v>
      </c>
      <c r="F197" s="5" t="s">
        <v>1022</v>
      </c>
      <c r="G197" s="5" t="s">
        <v>815</v>
      </c>
      <c r="H197" s="5" t="s">
        <v>801</v>
      </c>
    </row>
    <row r="198" customFormat="false" ht="15" hidden="false" customHeight="false" outlineLevel="0" collapsed="false">
      <c r="A198" s="5" t="s">
        <v>397</v>
      </c>
      <c r="B198" s="5" t="s">
        <v>1396</v>
      </c>
      <c r="C198" s="5" t="s">
        <v>32</v>
      </c>
      <c r="D198" s="5" t="s">
        <v>1397</v>
      </c>
      <c r="E198" s="5" t="s">
        <v>1398</v>
      </c>
      <c r="F198" s="5" t="s">
        <v>1399</v>
      </c>
      <c r="G198" s="5" t="s">
        <v>800</v>
      </c>
      <c r="H198" s="5" t="s">
        <v>801</v>
      </c>
    </row>
    <row r="199" customFormat="false" ht="23.85" hidden="false" customHeight="false" outlineLevel="0" collapsed="false">
      <c r="A199" s="5" t="s">
        <v>397</v>
      </c>
      <c r="B199" s="5" t="s">
        <v>1400</v>
      </c>
      <c r="C199" s="5" t="s">
        <v>43</v>
      </c>
      <c r="D199" s="5" t="s">
        <v>1401</v>
      </c>
      <c r="E199" s="5" t="s">
        <v>1402</v>
      </c>
      <c r="F199" s="5" t="s">
        <v>1022</v>
      </c>
      <c r="G199" s="5" t="s">
        <v>857</v>
      </c>
      <c r="H199" s="5" t="s">
        <v>801</v>
      </c>
    </row>
    <row r="200" customFormat="false" ht="15" hidden="false" customHeight="false" outlineLevel="0" collapsed="false">
      <c r="A200" s="5" t="s">
        <v>399</v>
      </c>
      <c r="B200" s="5" t="s">
        <v>1403</v>
      </c>
      <c r="C200" s="5" t="s">
        <v>27</v>
      </c>
      <c r="D200" s="5" t="s">
        <v>1404</v>
      </c>
      <c r="E200" s="5" t="s">
        <v>1405</v>
      </c>
      <c r="F200" s="5" t="s">
        <v>1406</v>
      </c>
      <c r="G200" s="5" t="s">
        <v>828</v>
      </c>
      <c r="H200" s="5" t="s">
        <v>801</v>
      </c>
    </row>
    <row r="201" customFormat="false" ht="15" hidden="false" customHeight="false" outlineLevel="0" collapsed="false">
      <c r="A201" s="5" t="s">
        <v>399</v>
      </c>
      <c r="B201" s="5" t="s">
        <v>1407</v>
      </c>
      <c r="C201" s="5" t="s">
        <v>49</v>
      </c>
      <c r="D201" s="5" t="s">
        <v>1408</v>
      </c>
      <c r="E201" s="5" t="s">
        <v>1409</v>
      </c>
      <c r="F201" s="5" t="s">
        <v>1022</v>
      </c>
      <c r="G201" s="5" t="s">
        <v>828</v>
      </c>
      <c r="H201" s="5" t="s">
        <v>801</v>
      </c>
    </row>
    <row r="202" customFormat="false" ht="23.85" hidden="false" customHeight="false" outlineLevel="0" collapsed="false">
      <c r="A202" s="5" t="s">
        <v>401</v>
      </c>
      <c r="B202" s="5" t="s">
        <v>1410</v>
      </c>
      <c r="C202" s="5" t="s">
        <v>54</v>
      </c>
      <c r="D202" s="5" t="s">
        <v>1411</v>
      </c>
      <c r="E202" s="5" t="s">
        <v>1412</v>
      </c>
      <c r="F202" s="5" t="s">
        <v>1413</v>
      </c>
      <c r="G202" s="5" t="s">
        <v>852</v>
      </c>
      <c r="H202" s="5" t="s">
        <v>801</v>
      </c>
    </row>
    <row r="203" customFormat="false" ht="23.85" hidden="false" customHeight="false" outlineLevel="0" collapsed="false">
      <c r="A203" s="5" t="s">
        <v>401</v>
      </c>
      <c r="B203" s="5" t="s">
        <v>1414</v>
      </c>
      <c r="C203" s="5" t="s">
        <v>38</v>
      </c>
      <c r="D203" s="5" t="s">
        <v>1415</v>
      </c>
      <c r="E203" s="5" t="s">
        <v>1416</v>
      </c>
      <c r="F203" s="5" t="s">
        <v>1022</v>
      </c>
      <c r="G203" s="5" t="s">
        <v>815</v>
      </c>
      <c r="H203" s="5" t="s">
        <v>801</v>
      </c>
    </row>
    <row r="204" customFormat="false" ht="23.85" hidden="false" customHeight="false" outlineLevel="0" collapsed="false">
      <c r="A204" s="5" t="s">
        <v>404</v>
      </c>
      <c r="B204" s="5" t="s">
        <v>1417</v>
      </c>
      <c r="C204" s="5" t="s">
        <v>49</v>
      </c>
      <c r="D204" s="5" t="s">
        <v>1418</v>
      </c>
      <c r="E204" s="5" t="s">
        <v>1419</v>
      </c>
      <c r="F204" s="5" t="s">
        <v>1420</v>
      </c>
      <c r="G204" s="5" t="s">
        <v>862</v>
      </c>
      <c r="H204" s="5" t="s">
        <v>801</v>
      </c>
    </row>
    <row r="205" customFormat="false" ht="15" hidden="false" customHeight="false" outlineLevel="0" collapsed="false">
      <c r="A205" s="5" t="s">
        <v>404</v>
      </c>
      <c r="B205" s="5" t="s">
        <v>1421</v>
      </c>
      <c r="C205" s="5" t="s">
        <v>32</v>
      </c>
      <c r="D205" s="5" t="s">
        <v>1422</v>
      </c>
      <c r="E205" s="5" t="s">
        <v>1423</v>
      </c>
      <c r="F205" s="5" t="s">
        <v>1022</v>
      </c>
      <c r="G205" s="5" t="s">
        <v>852</v>
      </c>
      <c r="H205" s="5" t="s">
        <v>801</v>
      </c>
    </row>
    <row r="206" customFormat="false" ht="35.05" hidden="false" customHeight="false" outlineLevel="0" collapsed="false">
      <c r="A206" s="5" t="s">
        <v>407</v>
      </c>
      <c r="B206" s="5" t="s">
        <v>1424</v>
      </c>
      <c r="C206" s="5" t="s">
        <v>35</v>
      </c>
      <c r="D206" s="5" t="s">
        <v>1425</v>
      </c>
      <c r="E206" s="5" t="s">
        <v>1426</v>
      </c>
      <c r="F206" s="5" t="s">
        <v>1427</v>
      </c>
      <c r="G206" s="5" t="s">
        <v>857</v>
      </c>
      <c r="H206" s="5" t="s">
        <v>801</v>
      </c>
    </row>
    <row r="207" customFormat="false" ht="23.85" hidden="false" customHeight="false" outlineLevel="0" collapsed="false">
      <c r="A207" s="5" t="s">
        <v>407</v>
      </c>
      <c r="B207" s="5" t="s">
        <v>1428</v>
      </c>
      <c r="C207" s="5" t="s">
        <v>46</v>
      </c>
      <c r="D207" s="5" t="s">
        <v>1429</v>
      </c>
      <c r="E207" s="5" t="s">
        <v>1430</v>
      </c>
      <c r="F207" s="5" t="s">
        <v>1022</v>
      </c>
      <c r="G207" s="5" t="s">
        <v>857</v>
      </c>
      <c r="H207" s="5" t="s">
        <v>801</v>
      </c>
    </row>
    <row r="208" customFormat="false" ht="23.85" hidden="false" customHeight="false" outlineLevel="0" collapsed="false">
      <c r="A208" s="5" t="s">
        <v>409</v>
      </c>
      <c r="B208" s="5" t="s">
        <v>1431</v>
      </c>
      <c r="C208" s="5" t="s">
        <v>35</v>
      </c>
      <c r="D208" s="5" t="s">
        <v>1432</v>
      </c>
      <c r="E208" s="5" t="s">
        <v>1433</v>
      </c>
      <c r="F208" s="5" t="s">
        <v>1434</v>
      </c>
      <c r="G208" s="5" t="s">
        <v>800</v>
      </c>
      <c r="H208" s="5" t="s">
        <v>801</v>
      </c>
    </row>
    <row r="209" customFormat="false" ht="23.85" hidden="false" customHeight="false" outlineLevel="0" collapsed="false">
      <c r="A209" s="5" t="s">
        <v>409</v>
      </c>
      <c r="B209" s="5" t="s">
        <v>1435</v>
      </c>
      <c r="C209" s="5" t="s">
        <v>32</v>
      </c>
      <c r="D209" s="5" t="s">
        <v>1436</v>
      </c>
      <c r="E209" s="5" t="s">
        <v>1437</v>
      </c>
      <c r="F209" s="5" t="s">
        <v>1022</v>
      </c>
      <c r="G209" s="5" t="s">
        <v>800</v>
      </c>
      <c r="H209" s="5" t="s">
        <v>801</v>
      </c>
    </row>
    <row r="210" customFormat="false" ht="23.85" hidden="false" customHeight="false" outlineLevel="0" collapsed="false">
      <c r="A210" s="5" t="s">
        <v>412</v>
      </c>
      <c r="B210" s="5" t="s">
        <v>1438</v>
      </c>
      <c r="C210" s="5" t="s">
        <v>35</v>
      </c>
      <c r="D210" s="5" t="s">
        <v>1439</v>
      </c>
      <c r="E210" s="5" t="s">
        <v>1440</v>
      </c>
      <c r="F210" s="5" t="s">
        <v>809</v>
      </c>
      <c r="G210" s="5" t="s">
        <v>810</v>
      </c>
      <c r="H210" s="5" t="s">
        <v>801</v>
      </c>
    </row>
    <row r="211" customFormat="false" ht="23.85" hidden="false" customHeight="false" outlineLevel="0" collapsed="false">
      <c r="A211" s="5" t="s">
        <v>412</v>
      </c>
      <c r="B211" s="5" t="s">
        <v>1441</v>
      </c>
      <c r="C211" s="5" t="s">
        <v>38</v>
      </c>
      <c r="D211" s="5" t="s">
        <v>1442</v>
      </c>
      <c r="E211" s="5" t="s">
        <v>1443</v>
      </c>
      <c r="F211" s="5" t="s">
        <v>1022</v>
      </c>
      <c r="G211" s="5" t="s">
        <v>828</v>
      </c>
      <c r="H211" s="5" t="s">
        <v>801</v>
      </c>
    </row>
    <row r="212" customFormat="false" ht="23.85" hidden="false" customHeight="false" outlineLevel="0" collapsed="false">
      <c r="A212" s="5" t="s">
        <v>415</v>
      </c>
      <c r="B212" s="5" t="s">
        <v>1444</v>
      </c>
      <c r="C212" s="5" t="s">
        <v>54</v>
      </c>
      <c r="D212" s="5" t="s">
        <v>1445</v>
      </c>
      <c r="E212" s="5" t="s">
        <v>1446</v>
      </c>
      <c r="F212" s="5" t="s">
        <v>1447</v>
      </c>
      <c r="G212" s="5" t="s">
        <v>815</v>
      </c>
      <c r="H212" s="5" t="s">
        <v>801</v>
      </c>
    </row>
    <row r="213" customFormat="false" ht="15" hidden="false" customHeight="false" outlineLevel="0" collapsed="false">
      <c r="A213" s="5" t="s">
        <v>415</v>
      </c>
      <c r="B213" s="5" t="s">
        <v>1448</v>
      </c>
      <c r="C213" s="5" t="s">
        <v>35</v>
      </c>
      <c r="D213" s="5" t="s">
        <v>1449</v>
      </c>
      <c r="E213" s="5" t="s">
        <v>1450</v>
      </c>
      <c r="F213" s="5" t="s">
        <v>1022</v>
      </c>
      <c r="G213" s="5" t="s">
        <v>815</v>
      </c>
      <c r="H213" s="5" t="s">
        <v>801</v>
      </c>
    </row>
    <row r="214" customFormat="false" ht="15" hidden="false" customHeight="false" outlineLevel="0" collapsed="false">
      <c r="A214" s="5" t="s">
        <v>418</v>
      </c>
      <c r="B214" s="5" t="s">
        <v>1451</v>
      </c>
      <c r="C214" s="5" t="s">
        <v>27</v>
      </c>
      <c r="D214" s="5" t="s">
        <v>1452</v>
      </c>
      <c r="E214" s="5" t="s">
        <v>1453</v>
      </c>
      <c r="F214" s="5" t="s">
        <v>1454</v>
      </c>
      <c r="G214" s="5" t="s">
        <v>852</v>
      </c>
      <c r="H214" s="5" t="s">
        <v>801</v>
      </c>
    </row>
    <row r="215" customFormat="false" ht="23.85" hidden="false" customHeight="false" outlineLevel="0" collapsed="false">
      <c r="A215" s="5" t="s">
        <v>418</v>
      </c>
      <c r="B215" s="5" t="s">
        <v>1455</v>
      </c>
      <c r="C215" s="5" t="s">
        <v>54</v>
      </c>
      <c r="D215" s="5" t="s">
        <v>1456</v>
      </c>
      <c r="E215" s="5" t="s">
        <v>1457</v>
      </c>
      <c r="F215" s="5" t="s">
        <v>1022</v>
      </c>
      <c r="G215" s="5" t="s">
        <v>800</v>
      </c>
      <c r="H215" s="5" t="s">
        <v>801</v>
      </c>
    </row>
    <row r="216" customFormat="false" ht="15" hidden="false" customHeight="false" outlineLevel="0" collapsed="false">
      <c r="A216" s="5" t="s">
        <v>420</v>
      </c>
      <c r="B216" s="5" t="s">
        <v>1458</v>
      </c>
      <c r="C216" s="5" t="s">
        <v>27</v>
      </c>
      <c r="D216" s="5" t="s">
        <v>1459</v>
      </c>
      <c r="E216" s="5" t="s">
        <v>1460</v>
      </c>
      <c r="F216" s="5" t="s">
        <v>809</v>
      </c>
      <c r="G216" s="5" t="s">
        <v>800</v>
      </c>
      <c r="H216" s="5" t="s">
        <v>801</v>
      </c>
    </row>
    <row r="217" customFormat="false" ht="15" hidden="false" customHeight="false" outlineLevel="0" collapsed="false">
      <c r="A217" s="5" t="s">
        <v>420</v>
      </c>
      <c r="B217" s="5" t="s">
        <v>1461</v>
      </c>
      <c r="C217" s="5" t="s">
        <v>54</v>
      </c>
      <c r="D217" s="5" t="s">
        <v>1462</v>
      </c>
      <c r="E217" s="5" t="s">
        <v>1463</v>
      </c>
      <c r="F217" s="5" t="s">
        <v>1022</v>
      </c>
      <c r="G217" s="5" t="s">
        <v>800</v>
      </c>
      <c r="H217" s="5" t="s">
        <v>801</v>
      </c>
    </row>
    <row r="218" customFormat="false" ht="15" hidden="false" customHeight="false" outlineLevel="0" collapsed="false">
      <c r="A218" s="5" t="s">
        <v>422</v>
      </c>
      <c r="B218" s="5" t="s">
        <v>1464</v>
      </c>
      <c r="C218" s="5" t="s">
        <v>27</v>
      </c>
      <c r="D218" s="5" t="s">
        <v>1465</v>
      </c>
      <c r="E218" s="5" t="s">
        <v>1466</v>
      </c>
      <c r="F218" s="5" t="s">
        <v>809</v>
      </c>
      <c r="G218" s="5" t="s">
        <v>828</v>
      </c>
      <c r="H218" s="5" t="s">
        <v>801</v>
      </c>
    </row>
    <row r="219" customFormat="false" ht="15" hidden="false" customHeight="false" outlineLevel="0" collapsed="false">
      <c r="A219" s="5" t="s">
        <v>422</v>
      </c>
      <c r="B219" s="5" t="s">
        <v>1467</v>
      </c>
      <c r="C219" s="5" t="s">
        <v>80</v>
      </c>
      <c r="D219" s="5" t="s">
        <v>1468</v>
      </c>
      <c r="E219" s="5" t="s">
        <v>1191</v>
      </c>
      <c r="F219" s="5" t="s">
        <v>1022</v>
      </c>
      <c r="G219" s="5" t="s">
        <v>857</v>
      </c>
      <c r="H219" s="5" t="s">
        <v>801</v>
      </c>
    </row>
    <row r="220" customFormat="false" ht="23.85" hidden="false" customHeight="false" outlineLevel="0" collapsed="false">
      <c r="A220" s="5" t="s">
        <v>425</v>
      </c>
      <c r="B220" s="5" t="s">
        <v>1469</v>
      </c>
      <c r="C220" s="5" t="s">
        <v>67</v>
      </c>
      <c r="D220" s="5" t="s">
        <v>1470</v>
      </c>
      <c r="E220" s="5" t="s">
        <v>1471</v>
      </c>
      <c r="F220" s="5" t="s">
        <v>1472</v>
      </c>
      <c r="G220" s="5" t="s">
        <v>815</v>
      </c>
      <c r="H220" s="5" t="s">
        <v>801</v>
      </c>
    </row>
    <row r="221" customFormat="false" ht="23.85" hidden="false" customHeight="false" outlineLevel="0" collapsed="false">
      <c r="A221" s="5" t="s">
        <v>425</v>
      </c>
      <c r="B221" s="5" t="s">
        <v>1473</v>
      </c>
      <c r="C221" s="5" t="s">
        <v>54</v>
      </c>
      <c r="D221" s="5" t="s">
        <v>1474</v>
      </c>
      <c r="E221" s="5" t="s">
        <v>1475</v>
      </c>
      <c r="F221" s="5" t="s">
        <v>1022</v>
      </c>
      <c r="G221" s="5" t="s">
        <v>815</v>
      </c>
      <c r="H221" s="5" t="s">
        <v>801</v>
      </c>
    </row>
    <row r="222" customFormat="false" ht="15" hidden="false" customHeight="false" outlineLevel="0" collapsed="false">
      <c r="A222" s="5" t="s">
        <v>427</v>
      </c>
      <c r="B222" s="5" t="s">
        <v>1476</v>
      </c>
      <c r="C222" s="5" t="s">
        <v>67</v>
      </c>
      <c r="D222" s="5" t="s">
        <v>1477</v>
      </c>
      <c r="E222" s="5" t="s">
        <v>1478</v>
      </c>
      <c r="F222" s="5" t="s">
        <v>809</v>
      </c>
      <c r="G222" s="5" t="s">
        <v>862</v>
      </c>
      <c r="H222" s="5" t="s">
        <v>801</v>
      </c>
    </row>
    <row r="223" customFormat="false" ht="15" hidden="false" customHeight="false" outlineLevel="0" collapsed="false">
      <c r="A223" s="5" t="s">
        <v>427</v>
      </c>
      <c r="B223" s="5" t="s">
        <v>1479</v>
      </c>
      <c r="C223" s="5" t="s">
        <v>49</v>
      </c>
      <c r="D223" s="5" t="s">
        <v>1480</v>
      </c>
      <c r="E223" s="5" t="s">
        <v>1481</v>
      </c>
      <c r="F223" s="5" t="s">
        <v>1022</v>
      </c>
      <c r="G223" s="5" t="s">
        <v>862</v>
      </c>
      <c r="H223" s="5" t="s">
        <v>801</v>
      </c>
    </row>
    <row r="224" customFormat="false" ht="23.85" hidden="false" customHeight="false" outlineLevel="0" collapsed="false">
      <c r="A224" s="5" t="s">
        <v>430</v>
      </c>
      <c r="B224" s="5" t="s">
        <v>1482</v>
      </c>
      <c r="C224" s="5" t="s">
        <v>35</v>
      </c>
      <c r="D224" s="5" t="s">
        <v>1483</v>
      </c>
      <c r="E224" s="5" t="s">
        <v>1484</v>
      </c>
      <c r="F224" s="5" t="s">
        <v>1485</v>
      </c>
      <c r="G224" s="5" t="s">
        <v>857</v>
      </c>
      <c r="H224" s="5" t="s">
        <v>801</v>
      </c>
    </row>
    <row r="225" customFormat="false" ht="23.85" hidden="false" customHeight="false" outlineLevel="0" collapsed="false">
      <c r="A225" s="5" t="s">
        <v>430</v>
      </c>
      <c r="B225" s="5" t="s">
        <v>1486</v>
      </c>
      <c r="C225" s="5" t="s">
        <v>67</v>
      </c>
      <c r="D225" s="5" t="s">
        <v>1487</v>
      </c>
      <c r="E225" s="5" t="s">
        <v>1488</v>
      </c>
      <c r="F225" s="5" t="s">
        <v>1022</v>
      </c>
      <c r="G225" s="5" t="s">
        <v>810</v>
      </c>
      <c r="H225" s="5" t="s">
        <v>801</v>
      </c>
    </row>
    <row r="226" customFormat="false" ht="15" hidden="false" customHeight="false" outlineLevel="0" collapsed="false">
      <c r="A226" s="5" t="s">
        <v>433</v>
      </c>
      <c r="B226" s="5" t="s">
        <v>1489</v>
      </c>
      <c r="C226" s="5" t="s">
        <v>80</v>
      </c>
      <c r="D226" s="5" t="s">
        <v>1490</v>
      </c>
      <c r="E226" s="5" t="s">
        <v>1491</v>
      </c>
      <c r="F226" s="5" t="s">
        <v>1492</v>
      </c>
      <c r="G226" s="5" t="s">
        <v>800</v>
      </c>
      <c r="H226" s="5" t="s">
        <v>801</v>
      </c>
    </row>
    <row r="227" customFormat="false" ht="23.85" hidden="false" customHeight="false" outlineLevel="0" collapsed="false">
      <c r="A227" s="5" t="s">
        <v>433</v>
      </c>
      <c r="B227" s="5" t="s">
        <v>1493</v>
      </c>
      <c r="C227" s="5" t="s">
        <v>46</v>
      </c>
      <c r="D227" s="5" t="s">
        <v>1494</v>
      </c>
      <c r="E227" s="5" t="s">
        <v>1495</v>
      </c>
      <c r="F227" s="5" t="s">
        <v>1022</v>
      </c>
      <c r="G227" s="5" t="s">
        <v>800</v>
      </c>
      <c r="H227" s="5" t="s">
        <v>801</v>
      </c>
    </row>
    <row r="228" customFormat="false" ht="23.85" hidden="false" customHeight="false" outlineLevel="0" collapsed="false">
      <c r="A228" s="5" t="s">
        <v>436</v>
      </c>
      <c r="B228" s="5" t="s">
        <v>1496</v>
      </c>
      <c r="C228" s="5" t="s">
        <v>67</v>
      </c>
      <c r="D228" s="5" t="s">
        <v>1497</v>
      </c>
      <c r="E228" s="5" t="s">
        <v>1498</v>
      </c>
      <c r="F228" s="5" t="s">
        <v>1499</v>
      </c>
      <c r="G228" s="5" t="s">
        <v>815</v>
      </c>
      <c r="H228" s="5" t="s">
        <v>801</v>
      </c>
    </row>
    <row r="229" customFormat="false" ht="15" hidden="false" customHeight="false" outlineLevel="0" collapsed="false">
      <c r="A229" s="5" t="s">
        <v>436</v>
      </c>
      <c r="B229" s="5" t="s">
        <v>1500</v>
      </c>
      <c r="C229" s="5" t="s">
        <v>54</v>
      </c>
      <c r="D229" s="5" t="s">
        <v>1501</v>
      </c>
      <c r="E229" s="5" t="s">
        <v>1502</v>
      </c>
      <c r="F229" s="5" t="s">
        <v>1022</v>
      </c>
      <c r="G229" s="5" t="s">
        <v>852</v>
      </c>
      <c r="H229" s="5" t="s">
        <v>801</v>
      </c>
    </row>
    <row r="230" customFormat="false" ht="23.85" hidden="false" customHeight="false" outlineLevel="0" collapsed="false">
      <c r="A230" s="5" t="s">
        <v>438</v>
      </c>
      <c r="B230" s="5" t="s">
        <v>1503</v>
      </c>
      <c r="C230" s="5" t="s">
        <v>27</v>
      </c>
      <c r="D230" s="5" t="s">
        <v>1504</v>
      </c>
      <c r="E230" s="5" t="s">
        <v>1505</v>
      </c>
      <c r="F230" s="5" t="s">
        <v>1506</v>
      </c>
      <c r="G230" s="5" t="s">
        <v>800</v>
      </c>
      <c r="H230" s="5" t="s">
        <v>801</v>
      </c>
    </row>
    <row r="231" customFormat="false" ht="23.85" hidden="false" customHeight="false" outlineLevel="0" collapsed="false">
      <c r="A231" s="5" t="s">
        <v>438</v>
      </c>
      <c r="B231" s="5" t="s">
        <v>1507</v>
      </c>
      <c r="C231" s="5" t="s">
        <v>54</v>
      </c>
      <c r="D231" s="5" t="s">
        <v>1504</v>
      </c>
      <c r="E231" s="5" t="s">
        <v>1505</v>
      </c>
      <c r="F231" s="5" t="s">
        <v>1022</v>
      </c>
      <c r="G231" s="5" t="s">
        <v>800</v>
      </c>
      <c r="H231" s="5" t="s">
        <v>801</v>
      </c>
    </row>
    <row r="232" customFormat="false" ht="15" hidden="false" customHeight="false" outlineLevel="0" collapsed="false">
      <c r="A232" s="5" t="s">
        <v>440</v>
      </c>
      <c r="B232" s="5" t="s">
        <v>1508</v>
      </c>
      <c r="C232" s="5" t="s">
        <v>27</v>
      </c>
      <c r="D232" s="5" t="s">
        <v>1509</v>
      </c>
      <c r="E232" s="5" t="s">
        <v>1510</v>
      </c>
      <c r="F232" s="5" t="s">
        <v>1511</v>
      </c>
      <c r="G232" s="5" t="s">
        <v>828</v>
      </c>
      <c r="H232" s="5" t="s">
        <v>801</v>
      </c>
    </row>
    <row r="233" customFormat="false" ht="15" hidden="false" customHeight="false" outlineLevel="0" collapsed="false">
      <c r="A233" s="5" t="s">
        <v>440</v>
      </c>
      <c r="B233" s="5" t="s">
        <v>1512</v>
      </c>
      <c r="C233" s="5" t="s">
        <v>49</v>
      </c>
      <c r="D233" s="5" t="s">
        <v>1509</v>
      </c>
      <c r="E233" s="5" t="s">
        <v>1510</v>
      </c>
      <c r="F233" s="5" t="s">
        <v>1022</v>
      </c>
      <c r="G233" s="5" t="s">
        <v>828</v>
      </c>
      <c r="H233" s="5" t="s">
        <v>801</v>
      </c>
    </row>
    <row r="234" customFormat="false" ht="23.85" hidden="false" customHeight="false" outlineLevel="0" collapsed="false">
      <c r="A234" s="5" t="s">
        <v>442</v>
      </c>
      <c r="B234" s="5" t="s">
        <v>1513</v>
      </c>
      <c r="C234" s="5" t="s">
        <v>67</v>
      </c>
      <c r="D234" s="5" t="s">
        <v>1514</v>
      </c>
      <c r="E234" s="5" t="s">
        <v>1515</v>
      </c>
      <c r="F234" s="5" t="s">
        <v>1516</v>
      </c>
      <c r="G234" s="5" t="s">
        <v>852</v>
      </c>
      <c r="H234" s="5" t="s">
        <v>801</v>
      </c>
    </row>
    <row r="235" customFormat="false" ht="23.85" hidden="false" customHeight="false" outlineLevel="0" collapsed="false">
      <c r="A235" s="5" t="s">
        <v>442</v>
      </c>
      <c r="B235" s="5" t="s">
        <v>1517</v>
      </c>
      <c r="C235" s="5" t="s">
        <v>54</v>
      </c>
      <c r="D235" s="5" t="s">
        <v>1514</v>
      </c>
      <c r="E235" s="5" t="s">
        <v>1515</v>
      </c>
      <c r="F235" s="5" t="s">
        <v>1022</v>
      </c>
      <c r="G235" s="5" t="s">
        <v>852</v>
      </c>
      <c r="H235" s="5" t="s">
        <v>801</v>
      </c>
    </row>
    <row r="236" customFormat="false" ht="15" hidden="false" customHeight="false" outlineLevel="0" collapsed="false">
      <c r="A236" s="5" t="s">
        <v>444</v>
      </c>
      <c r="B236" s="5" t="s">
        <v>1518</v>
      </c>
      <c r="C236" s="5" t="s">
        <v>27</v>
      </c>
      <c r="D236" s="5" t="s">
        <v>1519</v>
      </c>
      <c r="E236" s="5" t="s">
        <v>1520</v>
      </c>
      <c r="F236" s="5" t="s">
        <v>809</v>
      </c>
      <c r="G236" s="5" t="s">
        <v>862</v>
      </c>
      <c r="H236" s="5" t="s">
        <v>801</v>
      </c>
    </row>
    <row r="237" customFormat="false" ht="15" hidden="false" customHeight="false" outlineLevel="0" collapsed="false">
      <c r="A237" s="5" t="s">
        <v>444</v>
      </c>
      <c r="B237" s="5" t="s">
        <v>1521</v>
      </c>
      <c r="C237" s="5" t="s">
        <v>80</v>
      </c>
      <c r="D237" s="5" t="s">
        <v>1519</v>
      </c>
      <c r="E237" s="5" t="s">
        <v>1520</v>
      </c>
      <c r="F237" s="5" t="s">
        <v>1022</v>
      </c>
      <c r="G237" s="5" t="s">
        <v>862</v>
      </c>
      <c r="H237" s="5" t="s">
        <v>801</v>
      </c>
    </row>
    <row r="238" customFormat="false" ht="15" hidden="false" customHeight="false" outlineLevel="0" collapsed="false">
      <c r="A238" s="5" t="s">
        <v>446</v>
      </c>
      <c r="B238" s="5" t="s">
        <v>1522</v>
      </c>
      <c r="C238" s="5" t="s">
        <v>32</v>
      </c>
      <c r="D238" s="5" t="s">
        <v>1523</v>
      </c>
      <c r="E238" s="5" t="s">
        <v>1524</v>
      </c>
      <c r="F238" s="5" t="s">
        <v>799</v>
      </c>
      <c r="G238" s="5" t="s">
        <v>857</v>
      </c>
      <c r="H238" s="5" t="s">
        <v>801</v>
      </c>
    </row>
    <row r="239" customFormat="false" ht="15" hidden="false" customHeight="false" outlineLevel="0" collapsed="false">
      <c r="A239" s="5" t="s">
        <v>446</v>
      </c>
      <c r="B239" s="5" t="s">
        <v>1525</v>
      </c>
      <c r="C239" s="5" t="s">
        <v>54</v>
      </c>
      <c r="D239" s="5" t="s">
        <v>1523</v>
      </c>
      <c r="E239" s="5" t="s">
        <v>1524</v>
      </c>
      <c r="F239" s="5" t="s">
        <v>1022</v>
      </c>
      <c r="G239" s="5" t="s">
        <v>857</v>
      </c>
      <c r="H239" s="5" t="s">
        <v>801</v>
      </c>
    </row>
    <row r="240" customFormat="false" ht="23.85" hidden="false" customHeight="false" outlineLevel="0" collapsed="false">
      <c r="A240" s="5" t="s">
        <v>448</v>
      </c>
      <c r="B240" s="5" t="s">
        <v>1526</v>
      </c>
      <c r="C240" s="5" t="s">
        <v>27</v>
      </c>
      <c r="D240" s="5" t="s">
        <v>1527</v>
      </c>
      <c r="E240" s="5" t="s">
        <v>1528</v>
      </c>
      <c r="F240" s="5" t="s">
        <v>936</v>
      </c>
      <c r="G240" s="5" t="s">
        <v>800</v>
      </c>
      <c r="H240" s="5" t="s">
        <v>801</v>
      </c>
    </row>
    <row r="241" customFormat="false" ht="23.85" hidden="false" customHeight="false" outlineLevel="0" collapsed="false">
      <c r="A241" s="5" t="s">
        <v>448</v>
      </c>
      <c r="B241" s="5" t="s">
        <v>1157</v>
      </c>
      <c r="C241" s="5" t="s">
        <v>54</v>
      </c>
      <c r="D241" s="5" t="s">
        <v>1527</v>
      </c>
      <c r="E241" s="5" t="s">
        <v>1528</v>
      </c>
      <c r="F241" s="5" t="s">
        <v>1022</v>
      </c>
      <c r="G241" s="5" t="s">
        <v>800</v>
      </c>
      <c r="H241" s="5" t="s">
        <v>801</v>
      </c>
    </row>
    <row r="242" customFormat="false" ht="15" hidden="false" customHeight="false" outlineLevel="0" collapsed="false">
      <c r="A242" s="5" t="s">
        <v>450</v>
      </c>
      <c r="B242" s="5" t="s">
        <v>1529</v>
      </c>
      <c r="C242" s="5" t="s">
        <v>38</v>
      </c>
      <c r="D242" s="5"/>
      <c r="E242" s="5" t="s">
        <v>809</v>
      </c>
      <c r="F242" s="5" t="s">
        <v>823</v>
      </c>
      <c r="G242" s="5" t="s">
        <v>809</v>
      </c>
      <c r="H242" s="5" t="s">
        <v>801</v>
      </c>
    </row>
    <row r="243" customFormat="false" ht="15" hidden="false" customHeight="false" outlineLevel="0" collapsed="false">
      <c r="A243" s="5" t="s">
        <v>452</v>
      </c>
      <c r="B243" s="5" t="s">
        <v>1530</v>
      </c>
      <c r="C243" s="5" t="s">
        <v>67</v>
      </c>
      <c r="D243" s="5"/>
      <c r="E243" s="5" t="s">
        <v>809</v>
      </c>
      <c r="F243" s="5" t="s">
        <v>809</v>
      </c>
      <c r="G243" s="5" t="s">
        <v>809</v>
      </c>
      <c r="H243" s="5" t="s">
        <v>801</v>
      </c>
    </row>
    <row r="244" customFormat="false" ht="15" hidden="false" customHeight="false" outlineLevel="0" collapsed="false">
      <c r="A244" s="5" t="s">
        <v>454</v>
      </c>
      <c r="B244" s="5" t="s">
        <v>1531</v>
      </c>
      <c r="C244" s="5" t="s">
        <v>35</v>
      </c>
      <c r="D244" s="5"/>
      <c r="E244" s="5" t="s">
        <v>809</v>
      </c>
      <c r="F244" s="5" t="s">
        <v>809</v>
      </c>
      <c r="G244" s="5" t="s">
        <v>809</v>
      </c>
      <c r="H244" s="5" t="s">
        <v>801</v>
      </c>
    </row>
    <row r="245" customFormat="false" ht="15" hidden="false" customHeight="false" outlineLevel="0" collapsed="false">
      <c r="A245" s="5" t="s">
        <v>456</v>
      </c>
      <c r="B245" s="5" t="s">
        <v>1532</v>
      </c>
      <c r="C245" s="5" t="s">
        <v>49</v>
      </c>
      <c r="D245" s="5"/>
      <c r="E245" s="5" t="s">
        <v>809</v>
      </c>
      <c r="F245" s="5" t="s">
        <v>799</v>
      </c>
      <c r="G245" s="5" t="s">
        <v>809</v>
      </c>
      <c r="H245" s="5" t="s">
        <v>801</v>
      </c>
    </row>
    <row r="246" customFormat="false" ht="15" hidden="false" customHeight="false" outlineLevel="0" collapsed="false">
      <c r="A246" s="5" t="s">
        <v>458</v>
      </c>
      <c r="B246" s="5" t="s">
        <v>1533</v>
      </c>
      <c r="C246" s="5" t="s">
        <v>27</v>
      </c>
      <c r="D246" s="5"/>
      <c r="E246" s="5" t="s">
        <v>809</v>
      </c>
      <c r="F246" s="5" t="s">
        <v>809</v>
      </c>
      <c r="G246" s="5" t="s">
        <v>809</v>
      </c>
      <c r="H246" s="5" t="s">
        <v>801</v>
      </c>
    </row>
    <row r="247" customFormat="false" ht="15" hidden="false" customHeight="false" outlineLevel="0" collapsed="false">
      <c r="A247" s="5" t="s">
        <v>460</v>
      </c>
      <c r="B247" s="5"/>
      <c r="C247" s="5" t="s">
        <v>252</v>
      </c>
      <c r="D247" s="5"/>
      <c r="E247" s="5" t="s">
        <v>809</v>
      </c>
      <c r="F247" s="5" t="s">
        <v>809</v>
      </c>
      <c r="G247" s="5" t="s">
        <v>809</v>
      </c>
      <c r="H247" s="5" t="s">
        <v>801</v>
      </c>
    </row>
    <row r="248" customFormat="false" ht="15" hidden="false" customHeight="false" outlineLevel="0" collapsed="false">
      <c r="A248" s="5" t="s">
        <v>462</v>
      </c>
      <c r="B248" s="5"/>
      <c r="C248" s="5" t="s">
        <v>252</v>
      </c>
      <c r="D248" s="5"/>
      <c r="E248" s="5" t="s">
        <v>809</v>
      </c>
      <c r="F248" s="5" t="s">
        <v>809</v>
      </c>
      <c r="G248" s="5" t="s">
        <v>809</v>
      </c>
      <c r="H248" s="5" t="s">
        <v>801</v>
      </c>
    </row>
    <row r="249" customFormat="false" ht="15" hidden="false" customHeight="false" outlineLevel="0" collapsed="false">
      <c r="A249" s="5" t="s">
        <v>464</v>
      </c>
      <c r="B249" s="5"/>
      <c r="C249" s="5" t="s">
        <v>252</v>
      </c>
      <c r="D249" s="5"/>
      <c r="E249" s="5" t="s">
        <v>809</v>
      </c>
      <c r="F249" s="5" t="s">
        <v>1534</v>
      </c>
      <c r="G249" s="5" t="s">
        <v>809</v>
      </c>
      <c r="H249" s="5" t="s">
        <v>801</v>
      </c>
    </row>
    <row r="250" customFormat="false" ht="15" hidden="false" customHeight="false" outlineLevel="0" collapsed="false">
      <c r="A250" s="5" t="s">
        <v>466</v>
      </c>
      <c r="B250" s="5"/>
      <c r="C250" s="5" t="s">
        <v>252</v>
      </c>
      <c r="D250" s="5"/>
      <c r="E250" s="5" t="s">
        <v>809</v>
      </c>
      <c r="F250" s="5" t="s">
        <v>1535</v>
      </c>
      <c r="G250" s="5" t="s">
        <v>809</v>
      </c>
      <c r="H250" s="5" t="s">
        <v>801</v>
      </c>
    </row>
    <row r="251" customFormat="false" ht="15" hidden="false" customHeight="false" outlineLevel="0" collapsed="false">
      <c r="A251" s="5" t="s">
        <v>468</v>
      </c>
      <c r="B251" s="5"/>
      <c r="C251" s="5" t="s">
        <v>252</v>
      </c>
      <c r="D251" s="5"/>
      <c r="E251" s="5" t="s">
        <v>809</v>
      </c>
      <c r="F251" s="5" t="s">
        <v>1536</v>
      </c>
      <c r="G251" s="5" t="s">
        <v>809</v>
      </c>
      <c r="H251" s="5" t="s">
        <v>801</v>
      </c>
    </row>
    <row r="252" customFormat="false" ht="15" hidden="false" customHeight="false" outlineLevel="0" collapsed="false">
      <c r="A252" s="5" t="s">
        <v>470</v>
      </c>
      <c r="B252" s="5"/>
      <c r="C252" s="5" t="s">
        <v>252</v>
      </c>
      <c r="D252" s="5"/>
      <c r="E252" s="5" t="s">
        <v>809</v>
      </c>
      <c r="F252" s="5" t="s">
        <v>809</v>
      </c>
      <c r="G252" s="5" t="s">
        <v>809</v>
      </c>
      <c r="H252" s="5" t="s">
        <v>801</v>
      </c>
    </row>
    <row r="253" customFormat="false" ht="23.85" hidden="false" customHeight="false" outlineLevel="0" collapsed="false">
      <c r="A253" s="5" t="s">
        <v>472</v>
      </c>
      <c r="B253" s="5" t="s">
        <v>1537</v>
      </c>
      <c r="C253" s="5" t="s">
        <v>32</v>
      </c>
      <c r="D253" s="5" t="s">
        <v>1538</v>
      </c>
      <c r="E253" s="5" t="s">
        <v>1539</v>
      </c>
      <c r="F253" s="5" t="s">
        <v>1540</v>
      </c>
      <c r="G253" s="5" t="s">
        <v>832</v>
      </c>
      <c r="H253" s="5" t="s">
        <v>801</v>
      </c>
    </row>
    <row r="254" customFormat="false" ht="23.85" hidden="false" customHeight="false" outlineLevel="0" collapsed="false">
      <c r="A254" s="5" t="s">
        <v>474</v>
      </c>
      <c r="B254" s="5" t="s">
        <v>1541</v>
      </c>
      <c r="C254" s="5" t="s">
        <v>67</v>
      </c>
      <c r="D254" s="5" t="s">
        <v>1542</v>
      </c>
      <c r="E254" s="5" t="s">
        <v>1543</v>
      </c>
      <c r="F254" s="5" t="s">
        <v>799</v>
      </c>
      <c r="G254" s="5" t="s">
        <v>852</v>
      </c>
      <c r="H254" s="5" t="s">
        <v>801</v>
      </c>
    </row>
    <row r="255" customFormat="false" ht="23.85" hidden="false" customHeight="false" outlineLevel="0" collapsed="false">
      <c r="A255" s="5" t="s">
        <v>476</v>
      </c>
      <c r="B255" s="5" t="s">
        <v>1544</v>
      </c>
      <c r="C255" s="5" t="s">
        <v>38</v>
      </c>
      <c r="D255" s="5" t="s">
        <v>1545</v>
      </c>
      <c r="E255" s="5" t="s">
        <v>1546</v>
      </c>
      <c r="F255" s="5" t="s">
        <v>1547</v>
      </c>
      <c r="G255" s="5" t="s">
        <v>857</v>
      </c>
      <c r="H255" s="5" t="s">
        <v>801</v>
      </c>
    </row>
    <row r="256" customFormat="false" ht="23.85" hidden="false" customHeight="false" outlineLevel="0" collapsed="false">
      <c r="A256" s="5" t="s">
        <v>478</v>
      </c>
      <c r="B256" s="5" t="s">
        <v>1548</v>
      </c>
      <c r="C256" s="5" t="s">
        <v>46</v>
      </c>
      <c r="D256" s="5" t="s">
        <v>1549</v>
      </c>
      <c r="E256" s="5" t="s">
        <v>1550</v>
      </c>
      <c r="F256" s="5" t="s">
        <v>809</v>
      </c>
      <c r="G256" s="5" t="s">
        <v>828</v>
      </c>
      <c r="H256" s="5" t="s">
        <v>801</v>
      </c>
    </row>
    <row r="257" customFormat="false" ht="23.85" hidden="false" customHeight="false" outlineLevel="0" collapsed="false">
      <c r="A257" s="5" t="s">
        <v>480</v>
      </c>
      <c r="B257" s="5" t="s">
        <v>1551</v>
      </c>
      <c r="C257" s="5" t="s">
        <v>80</v>
      </c>
      <c r="D257" s="5" t="s">
        <v>1552</v>
      </c>
      <c r="E257" s="5" t="s">
        <v>1553</v>
      </c>
      <c r="F257" s="5" t="s">
        <v>809</v>
      </c>
      <c r="G257" s="5" t="s">
        <v>810</v>
      </c>
      <c r="H257" s="5" t="s">
        <v>801</v>
      </c>
    </row>
    <row r="258" customFormat="false" ht="23.85" hidden="false" customHeight="false" outlineLevel="0" collapsed="false">
      <c r="A258" s="5" t="s">
        <v>482</v>
      </c>
      <c r="B258" s="5" t="s">
        <v>1030</v>
      </c>
      <c r="C258" s="5" t="s">
        <v>27</v>
      </c>
      <c r="D258" s="5" t="s">
        <v>1554</v>
      </c>
      <c r="E258" s="5" t="s">
        <v>1555</v>
      </c>
      <c r="F258" s="5" t="s">
        <v>1556</v>
      </c>
      <c r="G258" s="5" t="s">
        <v>862</v>
      </c>
      <c r="H258" s="5" t="s">
        <v>801</v>
      </c>
    </row>
    <row r="259" customFormat="false" ht="23.85" hidden="false" customHeight="false" outlineLevel="0" collapsed="false">
      <c r="A259" s="5" t="s">
        <v>484</v>
      </c>
      <c r="B259" s="5" t="s">
        <v>853</v>
      </c>
      <c r="C259" s="5" t="s">
        <v>43</v>
      </c>
      <c r="D259" s="5" t="s">
        <v>1557</v>
      </c>
      <c r="E259" s="5" t="s">
        <v>1558</v>
      </c>
      <c r="F259" s="5" t="s">
        <v>1559</v>
      </c>
      <c r="G259" s="5" t="s">
        <v>800</v>
      </c>
      <c r="H259" s="5" t="s">
        <v>801</v>
      </c>
    </row>
    <row r="260" customFormat="false" ht="23.85" hidden="false" customHeight="false" outlineLevel="0" collapsed="false">
      <c r="A260" s="5" t="s">
        <v>486</v>
      </c>
      <c r="B260" s="5" t="s">
        <v>1560</v>
      </c>
      <c r="C260" s="5" t="s">
        <v>54</v>
      </c>
      <c r="D260" s="5" t="s">
        <v>1561</v>
      </c>
      <c r="E260" s="5" t="s">
        <v>1562</v>
      </c>
      <c r="F260" s="5" t="s">
        <v>809</v>
      </c>
      <c r="G260" s="5" t="s">
        <v>852</v>
      </c>
      <c r="H260" s="5" t="s">
        <v>801</v>
      </c>
    </row>
    <row r="261" customFormat="false" ht="35.05" hidden="false" customHeight="false" outlineLevel="0" collapsed="false">
      <c r="A261" s="5" t="s">
        <v>488</v>
      </c>
      <c r="B261" s="5" t="s">
        <v>1563</v>
      </c>
      <c r="C261" s="5" t="s">
        <v>67</v>
      </c>
      <c r="D261" s="5" t="s">
        <v>1564</v>
      </c>
      <c r="E261" s="5" t="s">
        <v>1565</v>
      </c>
      <c r="F261" s="5" t="s">
        <v>1566</v>
      </c>
      <c r="G261" s="5" t="s">
        <v>828</v>
      </c>
      <c r="H261" s="5" t="s">
        <v>801</v>
      </c>
    </row>
    <row r="262" customFormat="false" ht="23.85" hidden="false" customHeight="false" outlineLevel="0" collapsed="false">
      <c r="A262" s="5" t="s">
        <v>490</v>
      </c>
      <c r="B262" s="5" t="s">
        <v>1567</v>
      </c>
      <c r="C262" s="5" t="s">
        <v>35</v>
      </c>
      <c r="D262" s="5" t="s">
        <v>1568</v>
      </c>
      <c r="E262" s="5" t="s">
        <v>1569</v>
      </c>
      <c r="F262" s="5" t="s">
        <v>1570</v>
      </c>
      <c r="G262" s="5" t="s">
        <v>810</v>
      </c>
      <c r="H262" s="5" t="s">
        <v>801</v>
      </c>
    </row>
    <row r="263" customFormat="false" ht="35.05" hidden="false" customHeight="false" outlineLevel="0" collapsed="false">
      <c r="A263" s="5" t="s">
        <v>492</v>
      </c>
      <c r="B263" s="5" t="s">
        <v>1571</v>
      </c>
      <c r="C263" s="5" t="s">
        <v>49</v>
      </c>
      <c r="D263" s="5" t="s">
        <v>1572</v>
      </c>
      <c r="E263" s="5" t="s">
        <v>1573</v>
      </c>
      <c r="F263" s="5" t="s">
        <v>809</v>
      </c>
      <c r="G263" s="5" t="s">
        <v>832</v>
      </c>
      <c r="H263" s="5" t="s">
        <v>801</v>
      </c>
    </row>
    <row r="264" customFormat="false" ht="15" hidden="false" customHeight="false" outlineLevel="0" collapsed="false">
      <c r="A264" s="5" t="s">
        <v>494</v>
      </c>
      <c r="B264" s="5" t="s">
        <v>1574</v>
      </c>
      <c r="C264" s="5" t="s">
        <v>32</v>
      </c>
      <c r="D264" s="5" t="s">
        <v>1575</v>
      </c>
      <c r="E264" s="5" t="s">
        <v>1576</v>
      </c>
      <c r="F264" s="5" t="s">
        <v>799</v>
      </c>
      <c r="G264" s="5" t="s">
        <v>852</v>
      </c>
      <c r="H264" s="5" t="s">
        <v>801</v>
      </c>
    </row>
    <row r="265" customFormat="false" ht="23.85" hidden="false" customHeight="false" outlineLevel="0" collapsed="false">
      <c r="A265" s="5" t="s">
        <v>496</v>
      </c>
      <c r="B265" s="5" t="s">
        <v>1205</v>
      </c>
      <c r="C265" s="5" t="s">
        <v>46</v>
      </c>
      <c r="D265" s="5" t="s">
        <v>1577</v>
      </c>
      <c r="E265" s="5" t="s">
        <v>1578</v>
      </c>
      <c r="F265" s="5" t="s">
        <v>809</v>
      </c>
      <c r="G265" s="5" t="s">
        <v>857</v>
      </c>
      <c r="H265" s="5" t="s">
        <v>801</v>
      </c>
    </row>
    <row r="266" customFormat="false" ht="23.85" hidden="false" customHeight="false" outlineLevel="0" collapsed="false">
      <c r="A266" s="5" t="s">
        <v>498</v>
      </c>
      <c r="B266" s="5" t="s">
        <v>1579</v>
      </c>
      <c r="C266" s="5" t="s">
        <v>27</v>
      </c>
      <c r="D266" s="5" t="s">
        <v>1580</v>
      </c>
      <c r="E266" s="5" t="s">
        <v>1581</v>
      </c>
      <c r="F266" s="5" t="s">
        <v>1181</v>
      </c>
      <c r="G266" s="5" t="s">
        <v>800</v>
      </c>
      <c r="H266" s="5" t="s">
        <v>801</v>
      </c>
    </row>
    <row r="267" customFormat="false" ht="23.85" hidden="false" customHeight="false" outlineLevel="0" collapsed="false">
      <c r="A267" s="5" t="s">
        <v>500</v>
      </c>
      <c r="B267" s="5" t="s">
        <v>1189</v>
      </c>
      <c r="C267" s="5" t="s">
        <v>43</v>
      </c>
      <c r="D267" s="5" t="s">
        <v>1582</v>
      </c>
      <c r="E267" s="5" t="s">
        <v>1583</v>
      </c>
      <c r="F267" s="5" t="s">
        <v>809</v>
      </c>
      <c r="G267" s="5" t="s">
        <v>810</v>
      </c>
      <c r="H267" s="5" t="s">
        <v>801</v>
      </c>
    </row>
    <row r="268" customFormat="false" ht="23.85" hidden="false" customHeight="false" outlineLevel="0" collapsed="false">
      <c r="A268" s="5" t="s">
        <v>502</v>
      </c>
      <c r="B268" s="5" t="s">
        <v>1584</v>
      </c>
      <c r="C268" s="5" t="s">
        <v>80</v>
      </c>
      <c r="D268" s="5" t="s">
        <v>1585</v>
      </c>
      <c r="E268" s="5" t="s">
        <v>1586</v>
      </c>
      <c r="F268" s="5" t="s">
        <v>925</v>
      </c>
      <c r="G268" s="5" t="s">
        <v>828</v>
      </c>
      <c r="H268" s="5" t="s">
        <v>801</v>
      </c>
    </row>
    <row r="269" customFormat="false" ht="23.85" hidden="false" customHeight="false" outlineLevel="0" collapsed="false">
      <c r="A269" s="5" t="s">
        <v>504</v>
      </c>
      <c r="B269" s="5" t="s">
        <v>1587</v>
      </c>
      <c r="C269" s="5" t="s">
        <v>67</v>
      </c>
      <c r="D269" s="5" t="s">
        <v>1588</v>
      </c>
      <c r="E269" s="5" t="s">
        <v>1589</v>
      </c>
      <c r="F269" s="5" t="s">
        <v>809</v>
      </c>
      <c r="G269" s="5" t="s">
        <v>832</v>
      </c>
      <c r="H269" s="5" t="s">
        <v>801</v>
      </c>
    </row>
    <row r="270" customFormat="false" ht="23.85" hidden="false" customHeight="false" outlineLevel="0" collapsed="false">
      <c r="A270" s="5" t="s">
        <v>506</v>
      </c>
      <c r="B270" s="5" t="s">
        <v>1590</v>
      </c>
      <c r="C270" s="5" t="s">
        <v>35</v>
      </c>
      <c r="D270" s="5" t="s">
        <v>1591</v>
      </c>
      <c r="E270" s="5" t="s">
        <v>1592</v>
      </c>
      <c r="F270" s="5" t="s">
        <v>1593</v>
      </c>
      <c r="G270" s="5" t="s">
        <v>862</v>
      </c>
      <c r="H270" s="5" t="s">
        <v>801</v>
      </c>
    </row>
    <row r="271" customFormat="false" ht="23.85" hidden="false" customHeight="false" outlineLevel="0" collapsed="false">
      <c r="A271" s="5" t="s">
        <v>508</v>
      </c>
      <c r="B271" s="5" t="s">
        <v>1594</v>
      </c>
      <c r="C271" s="5" t="s">
        <v>27</v>
      </c>
      <c r="D271" s="5" t="s">
        <v>1595</v>
      </c>
      <c r="E271" s="5" t="s">
        <v>1596</v>
      </c>
      <c r="F271" s="5" t="s">
        <v>809</v>
      </c>
      <c r="G271" s="5" t="s">
        <v>810</v>
      </c>
      <c r="H271" s="5" t="s">
        <v>801</v>
      </c>
    </row>
    <row r="272" customFormat="false" ht="23.85" hidden="false" customHeight="false" outlineLevel="0" collapsed="false">
      <c r="A272" s="5" t="s">
        <v>510</v>
      </c>
      <c r="B272" s="5" t="s">
        <v>1597</v>
      </c>
      <c r="C272" s="5" t="s">
        <v>43</v>
      </c>
      <c r="D272" s="5" t="s">
        <v>1598</v>
      </c>
      <c r="E272" s="5" t="s">
        <v>1599</v>
      </c>
      <c r="F272" s="5" t="s">
        <v>809</v>
      </c>
      <c r="G272" s="5" t="s">
        <v>852</v>
      </c>
      <c r="H272" s="5" t="s">
        <v>801</v>
      </c>
    </row>
    <row r="273" customFormat="false" ht="23.85" hidden="false" customHeight="false" outlineLevel="0" collapsed="false">
      <c r="A273" s="5" t="s">
        <v>512</v>
      </c>
      <c r="B273" s="5" t="s">
        <v>1600</v>
      </c>
      <c r="C273" s="5" t="s">
        <v>38</v>
      </c>
      <c r="D273" s="5" t="s">
        <v>1601</v>
      </c>
      <c r="E273" s="5" t="s">
        <v>1602</v>
      </c>
      <c r="F273" s="5" t="s">
        <v>827</v>
      </c>
      <c r="G273" s="5" t="s">
        <v>828</v>
      </c>
      <c r="H273" s="5" t="s">
        <v>801</v>
      </c>
    </row>
    <row r="274" customFormat="false" ht="23.85" hidden="false" customHeight="false" outlineLevel="0" collapsed="false">
      <c r="A274" s="5" t="s">
        <v>514</v>
      </c>
      <c r="B274" s="5" t="s">
        <v>1603</v>
      </c>
      <c r="C274" s="5" t="s">
        <v>32</v>
      </c>
      <c r="D274" s="5" t="s">
        <v>1604</v>
      </c>
      <c r="E274" s="5" t="s">
        <v>1605</v>
      </c>
      <c r="F274" s="5" t="s">
        <v>1606</v>
      </c>
      <c r="G274" s="5" t="s">
        <v>832</v>
      </c>
      <c r="H274" s="5" t="s">
        <v>801</v>
      </c>
    </row>
    <row r="275" customFormat="false" ht="23.85" hidden="false" customHeight="false" outlineLevel="0" collapsed="false">
      <c r="A275" s="5" t="s">
        <v>516</v>
      </c>
      <c r="B275" s="5" t="s">
        <v>1607</v>
      </c>
      <c r="C275" s="5" t="s">
        <v>46</v>
      </c>
      <c r="D275" s="5" t="s">
        <v>1608</v>
      </c>
      <c r="E275" s="5" t="s">
        <v>1609</v>
      </c>
      <c r="F275" s="5" t="s">
        <v>1610</v>
      </c>
      <c r="G275" s="5" t="s">
        <v>810</v>
      </c>
      <c r="H275" s="5" t="s">
        <v>801</v>
      </c>
    </row>
    <row r="276" customFormat="false" ht="23.85" hidden="false" customHeight="false" outlineLevel="0" collapsed="false">
      <c r="A276" s="5" t="s">
        <v>518</v>
      </c>
      <c r="B276" s="5" t="s">
        <v>1611</v>
      </c>
      <c r="C276" s="5" t="s">
        <v>80</v>
      </c>
      <c r="D276" s="5" t="s">
        <v>1612</v>
      </c>
      <c r="E276" s="5" t="s">
        <v>1613</v>
      </c>
      <c r="F276" s="5" t="s">
        <v>1399</v>
      </c>
      <c r="G276" s="5" t="s">
        <v>857</v>
      </c>
      <c r="H276" s="5" t="s">
        <v>801</v>
      </c>
    </row>
    <row r="277" customFormat="false" ht="23.85" hidden="false" customHeight="false" outlineLevel="0" collapsed="false">
      <c r="A277" s="5" t="s">
        <v>520</v>
      </c>
      <c r="B277" s="5" t="s">
        <v>870</v>
      </c>
      <c r="C277" s="5" t="s">
        <v>38</v>
      </c>
      <c r="D277" s="5" t="s">
        <v>1614</v>
      </c>
      <c r="E277" s="5" t="s">
        <v>1615</v>
      </c>
      <c r="F277" s="5" t="s">
        <v>1616</v>
      </c>
      <c r="G277" s="5" t="s">
        <v>852</v>
      </c>
      <c r="H277" s="5" t="s">
        <v>801</v>
      </c>
    </row>
    <row r="278" customFormat="false" ht="15" hidden="false" customHeight="false" outlineLevel="0" collapsed="false">
      <c r="A278" s="5" t="s">
        <v>522</v>
      </c>
      <c r="B278" s="5" t="s">
        <v>1617</v>
      </c>
      <c r="C278" s="5" t="s">
        <v>49</v>
      </c>
      <c r="D278" s="5" t="s">
        <v>1618</v>
      </c>
      <c r="E278" s="5" t="s">
        <v>1619</v>
      </c>
      <c r="F278" s="5" t="s">
        <v>877</v>
      </c>
      <c r="G278" s="5" t="s">
        <v>828</v>
      </c>
      <c r="H278" s="5" t="s">
        <v>801</v>
      </c>
    </row>
    <row r="279" customFormat="false" ht="23.85" hidden="false" customHeight="false" outlineLevel="0" collapsed="false">
      <c r="A279" s="5" t="s">
        <v>524</v>
      </c>
      <c r="B279" s="5" t="s">
        <v>1620</v>
      </c>
      <c r="C279" s="5" t="s">
        <v>67</v>
      </c>
      <c r="D279" s="5" t="s">
        <v>1621</v>
      </c>
      <c r="E279" s="5" t="s">
        <v>1622</v>
      </c>
      <c r="F279" s="5" t="s">
        <v>1623</v>
      </c>
      <c r="G279" s="5" t="s">
        <v>862</v>
      </c>
      <c r="H279" s="5" t="s">
        <v>801</v>
      </c>
    </row>
    <row r="280" customFormat="false" ht="15" hidden="false" customHeight="false" outlineLevel="0" collapsed="false">
      <c r="A280" s="5" t="s">
        <v>526</v>
      </c>
      <c r="B280" s="5" t="s">
        <v>1624</v>
      </c>
      <c r="C280" s="5" t="s">
        <v>46</v>
      </c>
      <c r="D280" s="5" t="s">
        <v>1625</v>
      </c>
      <c r="E280" s="5" t="s">
        <v>1626</v>
      </c>
      <c r="F280" s="5" t="s">
        <v>809</v>
      </c>
      <c r="G280" s="5" t="s">
        <v>800</v>
      </c>
      <c r="H280" s="5" t="s">
        <v>801</v>
      </c>
    </row>
    <row r="281" customFormat="false" ht="23.85" hidden="false" customHeight="false" outlineLevel="0" collapsed="false">
      <c r="A281" s="5" t="s">
        <v>528</v>
      </c>
      <c r="B281" s="5" t="s">
        <v>1627</v>
      </c>
      <c r="C281" s="5" t="s">
        <v>43</v>
      </c>
      <c r="D281" s="5" t="s">
        <v>1628</v>
      </c>
      <c r="E281" s="5" t="s">
        <v>1629</v>
      </c>
      <c r="F281" s="5" t="s">
        <v>1630</v>
      </c>
      <c r="G281" s="5" t="s">
        <v>810</v>
      </c>
      <c r="H281" s="5" t="s">
        <v>801</v>
      </c>
    </row>
    <row r="282" customFormat="false" ht="23.85" hidden="false" customHeight="false" outlineLevel="0" collapsed="false">
      <c r="A282" s="5" t="s">
        <v>530</v>
      </c>
      <c r="B282" s="5" t="s">
        <v>1631</v>
      </c>
      <c r="C282" s="5" t="s">
        <v>27</v>
      </c>
      <c r="D282" s="5" t="s">
        <v>1632</v>
      </c>
      <c r="E282" s="5" t="s">
        <v>1633</v>
      </c>
      <c r="F282" s="5" t="s">
        <v>1634</v>
      </c>
      <c r="G282" s="5" t="s">
        <v>828</v>
      </c>
      <c r="H282" s="5" t="s">
        <v>801</v>
      </c>
    </row>
    <row r="283" customFormat="false" ht="23.85" hidden="false" customHeight="false" outlineLevel="0" collapsed="false">
      <c r="A283" s="5" t="s">
        <v>532</v>
      </c>
      <c r="B283" s="5" t="s">
        <v>1635</v>
      </c>
      <c r="C283" s="5" t="s">
        <v>80</v>
      </c>
      <c r="D283" s="5" t="s">
        <v>1636</v>
      </c>
      <c r="E283" s="5" t="s">
        <v>1637</v>
      </c>
      <c r="F283" s="5" t="s">
        <v>809</v>
      </c>
      <c r="G283" s="5" t="s">
        <v>832</v>
      </c>
      <c r="H283" s="5" t="s">
        <v>801</v>
      </c>
    </row>
    <row r="284" customFormat="false" ht="15" hidden="false" customHeight="false" outlineLevel="0" collapsed="false">
      <c r="A284" s="5" t="s">
        <v>534</v>
      </c>
      <c r="B284" s="5" t="s">
        <v>1638</v>
      </c>
      <c r="C284" s="5" t="s">
        <v>67</v>
      </c>
      <c r="D284" s="5" t="s">
        <v>1639</v>
      </c>
      <c r="E284" s="5" t="s">
        <v>1640</v>
      </c>
      <c r="F284" s="5" t="s">
        <v>809</v>
      </c>
      <c r="G284" s="5" t="s">
        <v>852</v>
      </c>
      <c r="H284" s="5" t="s">
        <v>801</v>
      </c>
    </row>
    <row r="285" customFormat="false" ht="23.85" hidden="false" customHeight="false" outlineLevel="0" collapsed="false">
      <c r="A285" s="5" t="s">
        <v>536</v>
      </c>
      <c r="B285" s="5" t="s">
        <v>1641</v>
      </c>
      <c r="C285" s="5" t="s">
        <v>35</v>
      </c>
      <c r="D285" s="5" t="s">
        <v>1642</v>
      </c>
      <c r="E285" s="5" t="s">
        <v>1643</v>
      </c>
      <c r="F285" s="5" t="s">
        <v>1644</v>
      </c>
      <c r="G285" s="5" t="s">
        <v>857</v>
      </c>
      <c r="H285" s="5" t="s">
        <v>801</v>
      </c>
    </row>
    <row r="286" customFormat="false" ht="23.85" hidden="false" customHeight="false" outlineLevel="0" collapsed="false">
      <c r="A286" s="5" t="s">
        <v>538</v>
      </c>
      <c r="B286" s="5" t="s">
        <v>1645</v>
      </c>
      <c r="C286" s="5" t="s">
        <v>27</v>
      </c>
      <c r="D286" s="5" t="s">
        <v>1646</v>
      </c>
      <c r="E286" s="5" t="s">
        <v>1647</v>
      </c>
      <c r="F286" s="5" t="s">
        <v>1648</v>
      </c>
      <c r="G286" s="5" t="s">
        <v>810</v>
      </c>
      <c r="H286" s="5" t="s">
        <v>801</v>
      </c>
    </row>
    <row r="287" customFormat="false" ht="23.85" hidden="false" customHeight="false" outlineLevel="0" collapsed="false">
      <c r="A287" s="5" t="s">
        <v>540</v>
      </c>
      <c r="B287" s="5" t="s">
        <v>1649</v>
      </c>
      <c r="C287" s="5" t="s">
        <v>32</v>
      </c>
      <c r="D287" s="5" t="s">
        <v>1650</v>
      </c>
      <c r="E287" s="5" t="s">
        <v>1651</v>
      </c>
      <c r="F287" s="5" t="s">
        <v>809</v>
      </c>
      <c r="G287" s="5" t="s">
        <v>800</v>
      </c>
      <c r="H287" s="5" t="s">
        <v>801</v>
      </c>
    </row>
    <row r="288" customFormat="false" ht="23.85" hidden="false" customHeight="false" outlineLevel="0" collapsed="false">
      <c r="A288" s="5" t="s">
        <v>542</v>
      </c>
      <c r="B288" s="5" t="s">
        <v>1652</v>
      </c>
      <c r="C288" s="5" t="s">
        <v>54</v>
      </c>
      <c r="D288" s="5" t="s">
        <v>1653</v>
      </c>
      <c r="E288" s="5" t="s">
        <v>1654</v>
      </c>
      <c r="F288" s="5" t="s">
        <v>1655</v>
      </c>
      <c r="G288" s="5" t="s">
        <v>862</v>
      </c>
      <c r="H288" s="5" t="s">
        <v>801</v>
      </c>
    </row>
    <row r="289" customFormat="false" ht="23.85" hidden="false" customHeight="false" outlineLevel="0" collapsed="false">
      <c r="A289" s="5" t="s">
        <v>544</v>
      </c>
      <c r="B289" s="5" t="s">
        <v>1656</v>
      </c>
      <c r="C289" s="5" t="s">
        <v>43</v>
      </c>
      <c r="D289" s="5" t="s">
        <v>1657</v>
      </c>
      <c r="E289" s="5" t="s">
        <v>1658</v>
      </c>
      <c r="F289" s="5" t="s">
        <v>809</v>
      </c>
      <c r="G289" s="5" t="s">
        <v>832</v>
      </c>
      <c r="H289" s="5" t="s">
        <v>801</v>
      </c>
    </row>
    <row r="290" customFormat="false" ht="23.85" hidden="false" customHeight="false" outlineLevel="0" collapsed="false">
      <c r="A290" s="5" t="s">
        <v>546</v>
      </c>
      <c r="B290" s="5" t="s">
        <v>1659</v>
      </c>
      <c r="C290" s="5" t="s">
        <v>46</v>
      </c>
      <c r="D290" s="5" t="s">
        <v>1660</v>
      </c>
      <c r="E290" s="5" t="s">
        <v>1661</v>
      </c>
      <c r="F290" s="5" t="s">
        <v>918</v>
      </c>
      <c r="G290" s="5" t="s">
        <v>828</v>
      </c>
      <c r="H290" s="5" t="s">
        <v>801</v>
      </c>
    </row>
    <row r="291" customFormat="false" ht="23.85" hidden="false" customHeight="false" outlineLevel="0" collapsed="false">
      <c r="A291" s="5" t="s">
        <v>548</v>
      </c>
      <c r="B291" s="5" t="s">
        <v>1662</v>
      </c>
      <c r="C291" s="5" t="s">
        <v>67</v>
      </c>
      <c r="D291" s="5" t="s">
        <v>1663</v>
      </c>
      <c r="E291" s="5" t="s">
        <v>1664</v>
      </c>
      <c r="F291" s="5" t="s">
        <v>809</v>
      </c>
      <c r="G291" s="5" t="s">
        <v>810</v>
      </c>
      <c r="H291" s="5" t="s">
        <v>801</v>
      </c>
    </row>
    <row r="292" customFormat="false" ht="23.85" hidden="false" customHeight="false" outlineLevel="0" collapsed="false">
      <c r="A292" s="5" t="s">
        <v>550</v>
      </c>
      <c r="B292" s="5" t="s">
        <v>1665</v>
      </c>
      <c r="C292" s="5" t="s">
        <v>35</v>
      </c>
      <c r="D292" s="5" t="s">
        <v>1666</v>
      </c>
      <c r="E292" s="5" t="s">
        <v>1667</v>
      </c>
      <c r="F292" s="5" t="s">
        <v>809</v>
      </c>
      <c r="G292" s="5" t="s">
        <v>852</v>
      </c>
      <c r="H292" s="5" t="s">
        <v>801</v>
      </c>
    </row>
    <row r="293" customFormat="false" ht="23.85" hidden="false" customHeight="false" outlineLevel="0" collapsed="false">
      <c r="A293" s="5" t="s">
        <v>552</v>
      </c>
      <c r="B293" s="5" t="s">
        <v>1668</v>
      </c>
      <c r="C293" s="5" t="s">
        <v>38</v>
      </c>
      <c r="D293" s="5" t="s">
        <v>1669</v>
      </c>
      <c r="E293" s="5" t="s">
        <v>1670</v>
      </c>
      <c r="F293" s="5" t="s">
        <v>1671</v>
      </c>
      <c r="G293" s="5" t="s">
        <v>828</v>
      </c>
      <c r="H293" s="5" t="s">
        <v>801</v>
      </c>
    </row>
    <row r="294" customFormat="false" ht="23.85" hidden="false" customHeight="false" outlineLevel="0" collapsed="false">
      <c r="A294" s="5" t="s">
        <v>554</v>
      </c>
      <c r="B294" s="5" t="s">
        <v>1672</v>
      </c>
      <c r="C294" s="5" t="s">
        <v>49</v>
      </c>
      <c r="D294" s="5" t="s">
        <v>1673</v>
      </c>
      <c r="E294" s="5" t="s">
        <v>1674</v>
      </c>
      <c r="F294" s="5" t="s">
        <v>809</v>
      </c>
      <c r="G294" s="5" t="s">
        <v>800</v>
      </c>
      <c r="H294" s="5" t="s">
        <v>801</v>
      </c>
    </row>
    <row r="295" customFormat="false" ht="23.85" hidden="false" customHeight="false" outlineLevel="0" collapsed="false">
      <c r="A295" s="5" t="s">
        <v>556</v>
      </c>
      <c r="B295" s="5" t="s">
        <v>1675</v>
      </c>
      <c r="C295" s="5" t="s">
        <v>54</v>
      </c>
      <c r="D295" s="5" t="s">
        <v>1676</v>
      </c>
      <c r="E295" s="5" t="s">
        <v>1677</v>
      </c>
      <c r="F295" s="5" t="s">
        <v>1678</v>
      </c>
      <c r="G295" s="5" t="s">
        <v>852</v>
      </c>
      <c r="H295" s="5" t="s">
        <v>801</v>
      </c>
    </row>
    <row r="296" customFormat="false" ht="23.85" hidden="false" customHeight="false" outlineLevel="0" collapsed="false">
      <c r="A296" s="5" t="s">
        <v>558</v>
      </c>
      <c r="B296" s="5" t="s">
        <v>1679</v>
      </c>
      <c r="C296" s="5" t="s">
        <v>32</v>
      </c>
      <c r="D296" s="5" t="s">
        <v>1680</v>
      </c>
      <c r="E296" s="5" t="s">
        <v>1681</v>
      </c>
      <c r="F296" s="5" t="s">
        <v>809</v>
      </c>
      <c r="G296" s="5" t="s">
        <v>800</v>
      </c>
      <c r="H296" s="5" t="s">
        <v>801</v>
      </c>
    </row>
    <row r="297" customFormat="false" ht="15" hidden="false" customHeight="false" outlineLevel="0" collapsed="false">
      <c r="A297" s="5" t="s">
        <v>560</v>
      </c>
      <c r="B297" s="5" t="s">
        <v>1682</v>
      </c>
      <c r="C297" s="5" t="s">
        <v>35</v>
      </c>
      <c r="D297" s="5" t="s">
        <v>1683</v>
      </c>
      <c r="E297" s="5" t="s">
        <v>1684</v>
      </c>
      <c r="F297" s="5" t="s">
        <v>1685</v>
      </c>
      <c r="G297" s="5" t="s">
        <v>810</v>
      </c>
      <c r="H297" s="5" t="s">
        <v>801</v>
      </c>
    </row>
    <row r="298" customFormat="false" ht="23.85" hidden="false" customHeight="false" outlineLevel="0" collapsed="false">
      <c r="A298" s="5" t="s">
        <v>562</v>
      </c>
      <c r="B298" s="5" t="s">
        <v>1686</v>
      </c>
      <c r="C298" s="5" t="s">
        <v>80</v>
      </c>
      <c r="D298" s="5" t="s">
        <v>1687</v>
      </c>
      <c r="E298" s="5" t="s">
        <v>1688</v>
      </c>
      <c r="F298" s="5" t="s">
        <v>1689</v>
      </c>
      <c r="G298" s="5" t="s">
        <v>828</v>
      </c>
      <c r="H298" s="5" t="s">
        <v>801</v>
      </c>
    </row>
    <row r="299" customFormat="false" ht="23.85" hidden="false" customHeight="false" outlineLevel="0" collapsed="false">
      <c r="A299" s="5" t="s">
        <v>564</v>
      </c>
      <c r="B299" s="5" t="s">
        <v>1690</v>
      </c>
      <c r="C299" s="5" t="s">
        <v>46</v>
      </c>
      <c r="D299" s="5" t="s">
        <v>1691</v>
      </c>
      <c r="E299" s="5" t="s">
        <v>1692</v>
      </c>
      <c r="F299" s="5" t="s">
        <v>809</v>
      </c>
      <c r="G299" s="5" t="s">
        <v>800</v>
      </c>
      <c r="H299" s="5" t="s">
        <v>801</v>
      </c>
    </row>
    <row r="300" customFormat="false" ht="15" hidden="false" customHeight="false" outlineLevel="0" collapsed="false">
      <c r="A300" s="5" t="s">
        <v>566</v>
      </c>
      <c r="B300" s="5" t="s">
        <v>1693</v>
      </c>
      <c r="C300" s="5" t="s">
        <v>67</v>
      </c>
      <c r="D300" s="5" t="s">
        <v>1694</v>
      </c>
      <c r="E300" s="5" t="s">
        <v>1695</v>
      </c>
      <c r="F300" s="5" t="s">
        <v>823</v>
      </c>
      <c r="G300" s="5" t="s">
        <v>857</v>
      </c>
      <c r="H300" s="5" t="s">
        <v>801</v>
      </c>
    </row>
    <row r="301" customFormat="false" ht="15" hidden="false" customHeight="false" outlineLevel="0" collapsed="false">
      <c r="A301" s="5" t="s">
        <v>568</v>
      </c>
      <c r="B301" s="5" t="s">
        <v>1696</v>
      </c>
      <c r="C301" s="5" t="s">
        <v>43</v>
      </c>
      <c r="D301" s="5" t="s">
        <v>1697</v>
      </c>
      <c r="E301" s="5" t="s">
        <v>1698</v>
      </c>
      <c r="F301" s="5" t="s">
        <v>809</v>
      </c>
      <c r="G301" s="5" t="s">
        <v>857</v>
      </c>
      <c r="H301" s="5" t="s">
        <v>801</v>
      </c>
    </row>
    <row r="302" customFormat="false" ht="23.85" hidden="false" customHeight="false" outlineLevel="0" collapsed="false">
      <c r="A302" s="5" t="s">
        <v>570</v>
      </c>
      <c r="B302" s="5" t="s">
        <v>1699</v>
      </c>
      <c r="C302" s="5" t="s">
        <v>27</v>
      </c>
      <c r="D302" s="5" t="s">
        <v>1700</v>
      </c>
      <c r="E302" s="5" t="s">
        <v>1701</v>
      </c>
      <c r="F302" s="5" t="s">
        <v>1702</v>
      </c>
      <c r="G302" s="5" t="s">
        <v>828</v>
      </c>
      <c r="H302" s="5" t="s">
        <v>801</v>
      </c>
    </row>
    <row r="303" customFormat="false" ht="15" hidden="false" customHeight="false" outlineLevel="0" collapsed="false">
      <c r="A303" s="5" t="s">
        <v>572</v>
      </c>
      <c r="B303" s="5" t="s">
        <v>1703</v>
      </c>
      <c r="C303" s="5" t="s">
        <v>49</v>
      </c>
      <c r="D303" s="5" t="s">
        <v>1704</v>
      </c>
      <c r="E303" s="5" t="s">
        <v>1705</v>
      </c>
      <c r="F303" s="5" t="s">
        <v>809</v>
      </c>
      <c r="G303" s="5" t="s">
        <v>828</v>
      </c>
      <c r="H303" s="5" t="s">
        <v>801</v>
      </c>
    </row>
    <row r="304" customFormat="false" ht="23.85" hidden="false" customHeight="false" outlineLevel="0" collapsed="false">
      <c r="A304" s="5" t="s">
        <v>574</v>
      </c>
      <c r="B304" s="5" t="s">
        <v>1706</v>
      </c>
      <c r="C304" s="5" t="s">
        <v>80</v>
      </c>
      <c r="D304" s="5" t="s">
        <v>1707</v>
      </c>
      <c r="E304" s="5" t="s">
        <v>1708</v>
      </c>
      <c r="F304" s="5" t="s">
        <v>809</v>
      </c>
      <c r="G304" s="5" t="s">
        <v>810</v>
      </c>
      <c r="H304" s="5" t="s">
        <v>801</v>
      </c>
    </row>
    <row r="305" customFormat="false" ht="15" hidden="false" customHeight="false" outlineLevel="0" collapsed="false">
      <c r="A305" s="5" t="s">
        <v>576</v>
      </c>
      <c r="B305" s="5" t="s">
        <v>1709</v>
      </c>
      <c r="C305" s="5" t="s">
        <v>38</v>
      </c>
      <c r="D305" s="5" t="s">
        <v>1710</v>
      </c>
      <c r="E305" s="5" t="s">
        <v>1711</v>
      </c>
      <c r="F305" s="5" t="s">
        <v>809</v>
      </c>
      <c r="G305" s="5" t="s">
        <v>832</v>
      </c>
      <c r="H305" s="5" t="s">
        <v>801</v>
      </c>
    </row>
    <row r="306" customFormat="false" ht="15" hidden="false" customHeight="false" outlineLevel="0" collapsed="false">
      <c r="A306" s="5" t="s">
        <v>578</v>
      </c>
      <c r="B306" s="5" t="s">
        <v>1712</v>
      </c>
      <c r="C306" s="5" t="s">
        <v>54</v>
      </c>
      <c r="D306" s="5" t="s">
        <v>1713</v>
      </c>
      <c r="E306" s="5" t="s">
        <v>1714</v>
      </c>
      <c r="F306" s="5" t="s">
        <v>1678</v>
      </c>
      <c r="G306" s="5" t="s">
        <v>800</v>
      </c>
      <c r="H306" s="5" t="s">
        <v>801</v>
      </c>
    </row>
    <row r="307" customFormat="false" ht="23.85" hidden="false" customHeight="false" outlineLevel="0" collapsed="false">
      <c r="A307" s="5" t="s">
        <v>580</v>
      </c>
      <c r="B307" s="5" t="s">
        <v>1715</v>
      </c>
      <c r="C307" s="5" t="s">
        <v>32</v>
      </c>
      <c r="D307" s="5" t="s">
        <v>1716</v>
      </c>
      <c r="E307" s="5" t="s">
        <v>1717</v>
      </c>
      <c r="F307" s="5" t="s">
        <v>809</v>
      </c>
      <c r="G307" s="5" t="s">
        <v>828</v>
      </c>
      <c r="H307" s="5" t="s">
        <v>801</v>
      </c>
    </row>
    <row r="308" customFormat="false" ht="23.85" hidden="false" customHeight="false" outlineLevel="0" collapsed="false">
      <c r="A308" s="5" t="s">
        <v>582</v>
      </c>
      <c r="B308" s="5" t="s">
        <v>1718</v>
      </c>
      <c r="C308" s="5" t="s">
        <v>67</v>
      </c>
      <c r="D308" s="5" t="s">
        <v>1719</v>
      </c>
      <c r="E308" s="5" t="s">
        <v>1720</v>
      </c>
      <c r="F308" s="5" t="s">
        <v>1721</v>
      </c>
      <c r="G308" s="5" t="s">
        <v>810</v>
      </c>
      <c r="H308" s="5" t="s">
        <v>801</v>
      </c>
    </row>
    <row r="309" customFormat="false" ht="23.85" hidden="false" customHeight="false" outlineLevel="0" collapsed="false">
      <c r="A309" s="5" t="s">
        <v>584</v>
      </c>
      <c r="B309" s="5" t="s">
        <v>1722</v>
      </c>
      <c r="C309" s="5" t="s">
        <v>43</v>
      </c>
      <c r="D309" s="5" t="s">
        <v>1723</v>
      </c>
      <c r="E309" s="5" t="s">
        <v>1724</v>
      </c>
      <c r="F309" s="5" t="s">
        <v>823</v>
      </c>
      <c r="G309" s="5" t="s">
        <v>810</v>
      </c>
      <c r="H309" s="5" t="s">
        <v>801</v>
      </c>
    </row>
    <row r="310" customFormat="false" ht="23.85" hidden="false" customHeight="false" outlineLevel="0" collapsed="false">
      <c r="A310" s="5" t="s">
        <v>586</v>
      </c>
      <c r="B310" s="5" t="s">
        <v>1725</v>
      </c>
      <c r="C310" s="5" t="s">
        <v>49</v>
      </c>
      <c r="D310" s="5" t="s">
        <v>1726</v>
      </c>
      <c r="E310" s="5" t="s">
        <v>1727</v>
      </c>
      <c r="F310" s="5" t="s">
        <v>1728</v>
      </c>
      <c r="G310" s="5" t="s">
        <v>828</v>
      </c>
      <c r="H310" s="5" t="s">
        <v>801</v>
      </c>
    </row>
    <row r="311" customFormat="false" ht="23.85" hidden="false" customHeight="false" outlineLevel="0" collapsed="false">
      <c r="A311" s="5" t="s">
        <v>588</v>
      </c>
      <c r="B311" s="5" t="s">
        <v>1729</v>
      </c>
      <c r="C311" s="5" t="s">
        <v>54</v>
      </c>
      <c r="D311" s="5" t="s">
        <v>1730</v>
      </c>
      <c r="E311" s="5" t="s">
        <v>1731</v>
      </c>
      <c r="F311" s="5" t="s">
        <v>809</v>
      </c>
      <c r="G311" s="5" t="s">
        <v>852</v>
      </c>
      <c r="H311" s="5" t="s">
        <v>801</v>
      </c>
    </row>
    <row r="312" customFormat="false" ht="23.85" hidden="false" customHeight="false" outlineLevel="0" collapsed="false">
      <c r="A312" s="5" t="s">
        <v>590</v>
      </c>
      <c r="B312" s="5" t="s">
        <v>1732</v>
      </c>
      <c r="C312" s="5" t="s">
        <v>32</v>
      </c>
      <c r="D312" s="5" t="s">
        <v>1733</v>
      </c>
      <c r="E312" s="5" t="s">
        <v>1734</v>
      </c>
      <c r="F312" s="5" t="s">
        <v>1735</v>
      </c>
      <c r="G312" s="5" t="s">
        <v>800</v>
      </c>
      <c r="H312" s="5" t="s">
        <v>801</v>
      </c>
    </row>
    <row r="313" customFormat="false" ht="15" hidden="false" customHeight="false" outlineLevel="0" collapsed="false">
      <c r="A313" s="5" t="s">
        <v>592</v>
      </c>
      <c r="B313" s="5" t="s">
        <v>1189</v>
      </c>
      <c r="C313" s="5" t="s">
        <v>43</v>
      </c>
      <c r="D313" s="5" t="s">
        <v>1736</v>
      </c>
      <c r="E313" s="5" t="s">
        <v>1737</v>
      </c>
      <c r="F313" s="5" t="s">
        <v>809</v>
      </c>
      <c r="G313" s="5" t="s">
        <v>857</v>
      </c>
      <c r="H313" s="5" t="s">
        <v>801</v>
      </c>
    </row>
    <row r="314" customFormat="false" ht="23.85" hidden="false" customHeight="false" outlineLevel="0" collapsed="false">
      <c r="A314" s="5" t="s">
        <v>594</v>
      </c>
      <c r="B314" s="5" t="s">
        <v>1738</v>
      </c>
      <c r="C314" s="5" t="s">
        <v>38</v>
      </c>
      <c r="D314" s="5" t="s">
        <v>1739</v>
      </c>
      <c r="E314" s="5" t="s">
        <v>1740</v>
      </c>
      <c r="F314" s="5" t="s">
        <v>1741</v>
      </c>
      <c r="G314" s="5" t="s">
        <v>862</v>
      </c>
      <c r="H314" s="5" t="s">
        <v>801</v>
      </c>
    </row>
    <row r="315" customFormat="false" ht="23.85" hidden="false" customHeight="false" outlineLevel="0" collapsed="false">
      <c r="A315" s="5" t="s">
        <v>596</v>
      </c>
      <c r="B315" s="5" t="s">
        <v>1742</v>
      </c>
      <c r="C315" s="5" t="s">
        <v>35</v>
      </c>
      <c r="D315" s="5" t="s">
        <v>1743</v>
      </c>
      <c r="E315" s="5" t="s">
        <v>1744</v>
      </c>
      <c r="F315" s="5" t="s">
        <v>809</v>
      </c>
      <c r="G315" s="5" t="s">
        <v>810</v>
      </c>
      <c r="H315" s="5" t="s">
        <v>801</v>
      </c>
    </row>
    <row r="316" customFormat="false" ht="23.85" hidden="false" customHeight="false" outlineLevel="0" collapsed="false">
      <c r="A316" s="5" t="s">
        <v>598</v>
      </c>
      <c r="B316" s="5" t="s">
        <v>1745</v>
      </c>
      <c r="C316" s="5" t="s">
        <v>67</v>
      </c>
      <c r="D316" s="5" t="s">
        <v>1746</v>
      </c>
      <c r="E316" s="5" t="s">
        <v>1747</v>
      </c>
      <c r="F316" s="5" t="s">
        <v>809</v>
      </c>
      <c r="G316" s="5" t="s">
        <v>832</v>
      </c>
      <c r="H316" s="5" t="s">
        <v>801</v>
      </c>
    </row>
    <row r="317" customFormat="false" ht="23.85" hidden="false" customHeight="false" outlineLevel="0" collapsed="false">
      <c r="A317" s="5" t="s">
        <v>600</v>
      </c>
      <c r="B317" s="5" t="s">
        <v>1748</v>
      </c>
      <c r="C317" s="5" t="s">
        <v>80</v>
      </c>
      <c r="D317" s="5" t="s">
        <v>1749</v>
      </c>
      <c r="E317" s="5" t="s">
        <v>1750</v>
      </c>
      <c r="F317" s="5" t="s">
        <v>1751</v>
      </c>
      <c r="G317" s="5" t="s">
        <v>828</v>
      </c>
      <c r="H317" s="5" t="s">
        <v>801</v>
      </c>
    </row>
    <row r="318" customFormat="false" ht="23.85" hidden="false" customHeight="false" outlineLevel="0" collapsed="false">
      <c r="A318" s="5" t="s">
        <v>602</v>
      </c>
      <c r="B318" s="5" t="s">
        <v>1752</v>
      </c>
      <c r="C318" s="5" t="s">
        <v>46</v>
      </c>
      <c r="D318" s="5" t="s">
        <v>1753</v>
      </c>
      <c r="E318" s="5" t="s">
        <v>1754</v>
      </c>
      <c r="F318" s="5" t="s">
        <v>809</v>
      </c>
      <c r="G318" s="5" t="s">
        <v>852</v>
      </c>
      <c r="H318" s="5" t="s">
        <v>801</v>
      </c>
    </row>
    <row r="319" customFormat="false" ht="23.85" hidden="false" customHeight="false" outlineLevel="0" collapsed="false">
      <c r="A319" s="5" t="s">
        <v>604</v>
      </c>
      <c r="B319" s="5" t="s">
        <v>1755</v>
      </c>
      <c r="C319" s="5" t="s">
        <v>54</v>
      </c>
      <c r="D319" s="5" t="s">
        <v>1756</v>
      </c>
      <c r="E319" s="5" t="s">
        <v>1757</v>
      </c>
      <c r="F319" s="5" t="s">
        <v>1758</v>
      </c>
      <c r="G319" s="5" t="s">
        <v>800</v>
      </c>
      <c r="H319" s="5" t="s">
        <v>801</v>
      </c>
    </row>
    <row r="320" customFormat="false" ht="23.85" hidden="false" customHeight="false" outlineLevel="0" collapsed="false">
      <c r="A320" s="5" t="s">
        <v>606</v>
      </c>
      <c r="B320" s="5" t="s">
        <v>1759</v>
      </c>
      <c r="C320" s="5" t="s">
        <v>49</v>
      </c>
      <c r="D320" s="5" t="s">
        <v>1760</v>
      </c>
      <c r="E320" s="5" t="s">
        <v>1761</v>
      </c>
      <c r="F320" s="5" t="s">
        <v>1762</v>
      </c>
      <c r="G320" s="5" t="s">
        <v>862</v>
      </c>
      <c r="H320" s="5" t="s">
        <v>801</v>
      </c>
    </row>
    <row r="321" customFormat="false" ht="23.85" hidden="false" customHeight="false" outlineLevel="0" collapsed="false">
      <c r="A321" s="5" t="s">
        <v>608</v>
      </c>
      <c r="B321" s="5" t="s">
        <v>1763</v>
      </c>
      <c r="C321" s="5" t="s">
        <v>27</v>
      </c>
      <c r="D321" s="5" t="s">
        <v>1764</v>
      </c>
      <c r="E321" s="5" t="s">
        <v>1765</v>
      </c>
      <c r="F321" s="5" t="s">
        <v>809</v>
      </c>
      <c r="G321" s="5" t="s">
        <v>810</v>
      </c>
      <c r="H321" s="5" t="s">
        <v>801</v>
      </c>
    </row>
    <row r="322" customFormat="false" ht="23.85" hidden="false" customHeight="false" outlineLevel="0" collapsed="false">
      <c r="A322" s="5" t="s">
        <v>610</v>
      </c>
      <c r="B322" s="5" t="s">
        <v>1766</v>
      </c>
      <c r="C322" s="5" t="s">
        <v>80</v>
      </c>
      <c r="D322" s="5" t="s">
        <v>1767</v>
      </c>
      <c r="E322" s="5" t="s">
        <v>1768</v>
      </c>
      <c r="F322" s="5" t="s">
        <v>809</v>
      </c>
      <c r="G322" s="5" t="s">
        <v>800</v>
      </c>
      <c r="H322" s="5" t="s">
        <v>801</v>
      </c>
    </row>
    <row r="323" customFormat="false" ht="15" hidden="false" customHeight="false" outlineLevel="0" collapsed="false">
      <c r="A323" s="5" t="s">
        <v>612</v>
      </c>
      <c r="B323" s="5" t="s">
        <v>1030</v>
      </c>
      <c r="C323" s="5" t="s">
        <v>27</v>
      </c>
      <c r="D323" s="5" t="s">
        <v>1769</v>
      </c>
      <c r="E323" s="5" t="s">
        <v>1770</v>
      </c>
      <c r="F323" s="5" t="s">
        <v>809</v>
      </c>
      <c r="G323" s="5" t="s">
        <v>857</v>
      </c>
      <c r="H323" s="5" t="s">
        <v>801</v>
      </c>
    </row>
    <row r="324" customFormat="false" ht="23.85" hidden="false" customHeight="false" outlineLevel="0" collapsed="false">
      <c r="A324" s="5" t="s">
        <v>614</v>
      </c>
      <c r="B324" s="5" t="s">
        <v>1771</v>
      </c>
      <c r="C324" s="5" t="s">
        <v>67</v>
      </c>
      <c r="D324" s="5" t="s">
        <v>1772</v>
      </c>
      <c r="E324" s="5" t="s">
        <v>1773</v>
      </c>
      <c r="F324" s="5" t="s">
        <v>809</v>
      </c>
      <c r="G324" s="5" t="s">
        <v>852</v>
      </c>
      <c r="H324" s="5" t="s">
        <v>801</v>
      </c>
    </row>
    <row r="325" customFormat="false" ht="23.85" hidden="false" customHeight="false" outlineLevel="0" collapsed="false">
      <c r="A325" s="5" t="s">
        <v>616</v>
      </c>
      <c r="B325" s="5" t="s">
        <v>1774</v>
      </c>
      <c r="C325" s="5" t="s">
        <v>43</v>
      </c>
      <c r="D325" s="5" t="s">
        <v>1775</v>
      </c>
      <c r="E325" s="5" t="s">
        <v>1776</v>
      </c>
      <c r="F325" s="5" t="s">
        <v>809</v>
      </c>
      <c r="G325" s="5" t="s">
        <v>828</v>
      </c>
      <c r="H325" s="5" t="s">
        <v>801</v>
      </c>
    </row>
    <row r="326" customFormat="false" ht="23.85" hidden="false" customHeight="false" outlineLevel="0" collapsed="false">
      <c r="A326" s="5" t="s">
        <v>618</v>
      </c>
      <c r="B326" s="5" t="s">
        <v>1548</v>
      </c>
      <c r="C326" s="5" t="s">
        <v>46</v>
      </c>
      <c r="D326" s="5" t="s">
        <v>1777</v>
      </c>
      <c r="E326" s="5" t="s">
        <v>1778</v>
      </c>
      <c r="F326" s="5" t="s">
        <v>809</v>
      </c>
      <c r="G326" s="5" t="s">
        <v>810</v>
      </c>
      <c r="H326" s="5" t="s">
        <v>801</v>
      </c>
    </row>
    <row r="327" customFormat="false" ht="15" hidden="false" customHeight="false" outlineLevel="0" collapsed="false">
      <c r="A327" s="5" t="s">
        <v>620</v>
      </c>
      <c r="B327" s="5" t="s">
        <v>1779</v>
      </c>
      <c r="C327" s="5" t="s">
        <v>49</v>
      </c>
      <c r="D327" s="5" t="s">
        <v>1780</v>
      </c>
      <c r="E327" s="5" t="s">
        <v>1781</v>
      </c>
      <c r="F327" s="5" t="s">
        <v>809</v>
      </c>
      <c r="G327" s="5" t="s">
        <v>832</v>
      </c>
      <c r="H327" s="5" t="s">
        <v>801</v>
      </c>
    </row>
    <row r="328" customFormat="false" ht="23.85" hidden="false" customHeight="false" outlineLevel="0" collapsed="false">
      <c r="A328" s="5" t="s">
        <v>622</v>
      </c>
      <c r="B328" s="5" t="s">
        <v>1030</v>
      </c>
      <c r="C328" s="5" t="s">
        <v>27</v>
      </c>
      <c r="D328" s="5" t="s">
        <v>1782</v>
      </c>
      <c r="E328" s="5" t="s">
        <v>1783</v>
      </c>
      <c r="F328" s="5" t="s">
        <v>1784</v>
      </c>
      <c r="G328" s="5" t="s">
        <v>800</v>
      </c>
      <c r="H328" s="5" t="s">
        <v>801</v>
      </c>
    </row>
    <row r="329" customFormat="false" ht="23.85" hidden="false" customHeight="false" outlineLevel="0" collapsed="false">
      <c r="A329" s="5" t="s">
        <v>624</v>
      </c>
      <c r="B329" s="5" t="s">
        <v>1785</v>
      </c>
      <c r="C329" s="5" t="s">
        <v>35</v>
      </c>
      <c r="D329" s="5" t="s">
        <v>1786</v>
      </c>
      <c r="E329" s="5" t="s">
        <v>1787</v>
      </c>
      <c r="F329" s="5" t="s">
        <v>1788</v>
      </c>
      <c r="G329" s="5" t="s">
        <v>828</v>
      </c>
      <c r="H329" s="5" t="s">
        <v>801</v>
      </c>
    </row>
    <row r="330" customFormat="false" ht="15" hidden="false" customHeight="false" outlineLevel="0" collapsed="false">
      <c r="A330" s="5" t="s">
        <v>626</v>
      </c>
      <c r="B330" s="5" t="s">
        <v>1789</v>
      </c>
      <c r="C330" s="5" t="s">
        <v>49</v>
      </c>
      <c r="D330" s="5" t="s">
        <v>995</v>
      </c>
      <c r="E330" s="5" t="s">
        <v>996</v>
      </c>
      <c r="F330" s="5" t="s">
        <v>799</v>
      </c>
      <c r="G330" s="5" t="s">
        <v>809</v>
      </c>
      <c r="H330" s="5" t="s">
        <v>801</v>
      </c>
    </row>
    <row r="331" customFormat="false" ht="15" hidden="false" customHeight="false" outlineLevel="0" collapsed="false">
      <c r="A331" s="5" t="s">
        <v>628</v>
      </c>
      <c r="B331" s="5" t="s">
        <v>1790</v>
      </c>
      <c r="C331" s="5" t="s">
        <v>43</v>
      </c>
      <c r="D331" s="5" t="s">
        <v>995</v>
      </c>
      <c r="E331" s="5" t="s">
        <v>996</v>
      </c>
      <c r="F331" s="5" t="s">
        <v>809</v>
      </c>
      <c r="G331" s="5" t="s">
        <v>809</v>
      </c>
      <c r="H331" s="5" t="s">
        <v>801</v>
      </c>
    </row>
    <row r="332" customFormat="false" ht="15" hidden="false" customHeight="false" outlineLevel="0" collapsed="false">
      <c r="A332" s="5" t="s">
        <v>630</v>
      </c>
      <c r="B332" s="5" t="s">
        <v>1791</v>
      </c>
      <c r="C332" s="5" t="s">
        <v>27</v>
      </c>
      <c r="D332" s="5" t="s">
        <v>995</v>
      </c>
      <c r="E332" s="5" t="s">
        <v>996</v>
      </c>
      <c r="F332" s="5" t="s">
        <v>809</v>
      </c>
      <c r="G332" s="5" t="s">
        <v>809</v>
      </c>
      <c r="H332" s="5" t="s">
        <v>801</v>
      </c>
    </row>
    <row r="333" customFormat="false" ht="15" hidden="false" customHeight="false" outlineLevel="0" collapsed="false">
      <c r="A333" s="5" t="s">
        <v>632</v>
      </c>
      <c r="B333" s="5" t="s">
        <v>1792</v>
      </c>
      <c r="C333" s="5" t="s">
        <v>35</v>
      </c>
      <c r="D333" s="5" t="s">
        <v>995</v>
      </c>
      <c r="E333" s="5" t="s">
        <v>996</v>
      </c>
      <c r="F333" s="5" t="s">
        <v>809</v>
      </c>
      <c r="G333" s="5" t="s">
        <v>809</v>
      </c>
      <c r="H333" s="5" t="s">
        <v>801</v>
      </c>
    </row>
    <row r="334" customFormat="false" ht="15" hidden="false" customHeight="false" outlineLevel="0" collapsed="false">
      <c r="A334" s="5" t="s">
        <v>634</v>
      </c>
      <c r="B334" s="5" t="s">
        <v>1793</v>
      </c>
      <c r="C334" s="5" t="s">
        <v>67</v>
      </c>
      <c r="D334" s="5" t="s">
        <v>995</v>
      </c>
      <c r="E334" s="5" t="s">
        <v>996</v>
      </c>
      <c r="F334" s="5" t="s">
        <v>809</v>
      </c>
      <c r="G334" s="5" t="s">
        <v>809</v>
      </c>
      <c r="H334" s="5" t="s">
        <v>801</v>
      </c>
    </row>
    <row r="335" customFormat="false" ht="15" hidden="false" customHeight="false" outlineLevel="0" collapsed="false">
      <c r="A335" s="5" t="s">
        <v>636</v>
      </c>
      <c r="B335" s="5" t="s">
        <v>1794</v>
      </c>
      <c r="C335" s="5" t="s">
        <v>80</v>
      </c>
      <c r="D335" s="5" t="s">
        <v>995</v>
      </c>
      <c r="E335" s="5" t="s">
        <v>996</v>
      </c>
      <c r="F335" s="5" t="s">
        <v>799</v>
      </c>
      <c r="G335" s="5" t="s">
        <v>809</v>
      </c>
      <c r="H335" s="5" t="s">
        <v>801</v>
      </c>
    </row>
    <row r="336" customFormat="false" ht="15" hidden="false" customHeight="false" outlineLevel="0" collapsed="false">
      <c r="A336" s="5" t="s">
        <v>638</v>
      </c>
      <c r="B336" s="5" t="s">
        <v>1795</v>
      </c>
      <c r="C336" s="5" t="s">
        <v>38</v>
      </c>
      <c r="D336" s="5" t="s">
        <v>995</v>
      </c>
      <c r="E336" s="5" t="s">
        <v>996</v>
      </c>
      <c r="F336" s="5" t="s">
        <v>809</v>
      </c>
      <c r="G336" s="5" t="s">
        <v>809</v>
      </c>
      <c r="H336" s="5" t="s">
        <v>801</v>
      </c>
    </row>
    <row r="337" customFormat="false" ht="15" hidden="false" customHeight="false" outlineLevel="0" collapsed="false">
      <c r="A337" s="5" t="s">
        <v>640</v>
      </c>
      <c r="B337" s="5" t="s">
        <v>1796</v>
      </c>
      <c r="C337" s="5" t="s">
        <v>54</v>
      </c>
      <c r="D337" s="5" t="s">
        <v>995</v>
      </c>
      <c r="E337" s="5" t="s">
        <v>996</v>
      </c>
      <c r="F337" s="5" t="s">
        <v>809</v>
      </c>
      <c r="G337" s="5" t="s">
        <v>809</v>
      </c>
      <c r="H337" s="5" t="s">
        <v>801</v>
      </c>
    </row>
    <row r="338" customFormat="false" ht="15" hidden="false" customHeight="false" outlineLevel="0" collapsed="false">
      <c r="A338" s="5" t="s">
        <v>642</v>
      </c>
      <c r="B338" s="5" t="s">
        <v>1797</v>
      </c>
      <c r="C338" s="5" t="s">
        <v>43</v>
      </c>
      <c r="D338" s="5" t="s">
        <v>995</v>
      </c>
      <c r="E338" s="5" t="s">
        <v>996</v>
      </c>
      <c r="F338" s="5" t="s">
        <v>799</v>
      </c>
      <c r="G338" s="5" t="s">
        <v>809</v>
      </c>
      <c r="H338" s="5" t="s">
        <v>801</v>
      </c>
    </row>
    <row r="339" customFormat="false" ht="15" hidden="false" customHeight="false" outlineLevel="0" collapsed="false">
      <c r="A339" s="5" t="s">
        <v>644</v>
      </c>
      <c r="B339" s="5" t="s">
        <v>1798</v>
      </c>
      <c r="C339" s="5" t="s">
        <v>49</v>
      </c>
      <c r="D339" s="5" t="s">
        <v>995</v>
      </c>
      <c r="E339" s="5" t="s">
        <v>996</v>
      </c>
      <c r="F339" s="5" t="s">
        <v>809</v>
      </c>
      <c r="G339" s="5" t="s">
        <v>809</v>
      </c>
      <c r="H339" s="5" t="s">
        <v>801</v>
      </c>
    </row>
    <row r="340" customFormat="false" ht="15" hidden="false" customHeight="false" outlineLevel="0" collapsed="false">
      <c r="A340" s="5" t="s">
        <v>646</v>
      </c>
      <c r="B340" s="5" t="s">
        <v>1799</v>
      </c>
      <c r="C340" s="5" t="s">
        <v>32</v>
      </c>
      <c r="D340" s="5" t="s">
        <v>995</v>
      </c>
      <c r="E340" s="5" t="s">
        <v>996</v>
      </c>
      <c r="F340" s="5" t="s">
        <v>809</v>
      </c>
      <c r="G340" s="5" t="s">
        <v>809</v>
      </c>
      <c r="H340" s="5" t="s">
        <v>801</v>
      </c>
    </row>
    <row r="341" customFormat="false" ht="15" hidden="false" customHeight="false" outlineLevel="0" collapsed="false">
      <c r="A341" s="5" t="s">
        <v>648</v>
      </c>
      <c r="B341" s="5" t="s">
        <v>1800</v>
      </c>
      <c r="C341" s="5" t="s">
        <v>46</v>
      </c>
      <c r="D341" s="5" t="s">
        <v>995</v>
      </c>
      <c r="E341" s="5" t="s">
        <v>996</v>
      </c>
      <c r="F341" s="5" t="s">
        <v>799</v>
      </c>
      <c r="G341" s="5" t="s">
        <v>809</v>
      </c>
      <c r="H341" s="5" t="s">
        <v>801</v>
      </c>
    </row>
    <row r="342" customFormat="false" ht="15" hidden="false" customHeight="false" outlineLevel="0" collapsed="false">
      <c r="A342" s="5" t="s">
        <v>650</v>
      </c>
      <c r="B342" s="5" t="s">
        <v>1801</v>
      </c>
      <c r="C342" s="5" t="s">
        <v>49</v>
      </c>
      <c r="D342" s="5" t="s">
        <v>995</v>
      </c>
      <c r="E342" s="5" t="s">
        <v>996</v>
      </c>
      <c r="F342" s="5" t="s">
        <v>809</v>
      </c>
      <c r="G342" s="5" t="s">
        <v>809</v>
      </c>
      <c r="H342" s="5" t="s">
        <v>801</v>
      </c>
    </row>
    <row r="343" customFormat="false" ht="15" hidden="false" customHeight="false" outlineLevel="0" collapsed="false">
      <c r="A343" s="5" t="s">
        <v>652</v>
      </c>
      <c r="B343" s="5" t="s">
        <v>1802</v>
      </c>
      <c r="C343" s="5" t="s">
        <v>27</v>
      </c>
      <c r="D343" s="5" t="s">
        <v>995</v>
      </c>
      <c r="E343" s="5" t="s">
        <v>996</v>
      </c>
      <c r="F343" s="5" t="s">
        <v>809</v>
      </c>
      <c r="G343" s="5" t="s">
        <v>809</v>
      </c>
      <c r="H343" s="5" t="s">
        <v>801</v>
      </c>
    </row>
    <row r="344" customFormat="false" ht="15" hidden="false" customHeight="false" outlineLevel="0" collapsed="false">
      <c r="A344" s="5" t="s">
        <v>654</v>
      </c>
      <c r="B344" s="5" t="s">
        <v>1803</v>
      </c>
      <c r="C344" s="5" t="s">
        <v>35</v>
      </c>
      <c r="D344" s="5" t="s">
        <v>995</v>
      </c>
      <c r="E344" s="5" t="s">
        <v>996</v>
      </c>
      <c r="F344" s="5" t="s">
        <v>809</v>
      </c>
      <c r="G344" s="5" t="s">
        <v>809</v>
      </c>
      <c r="H344" s="5" t="s">
        <v>801</v>
      </c>
    </row>
    <row r="345" customFormat="false" ht="23.85" hidden="false" customHeight="false" outlineLevel="0" collapsed="false">
      <c r="A345" s="5" t="s">
        <v>656</v>
      </c>
      <c r="B345" s="5" t="s">
        <v>1804</v>
      </c>
      <c r="C345" s="5" t="s">
        <v>32</v>
      </c>
      <c r="D345" s="5" t="s">
        <v>995</v>
      </c>
      <c r="E345" s="5" t="s">
        <v>996</v>
      </c>
      <c r="F345" s="5" t="s">
        <v>809</v>
      </c>
      <c r="G345" s="5" t="s">
        <v>809</v>
      </c>
      <c r="H345" s="5" t="s">
        <v>801</v>
      </c>
    </row>
    <row r="346" customFormat="false" ht="15" hidden="false" customHeight="false" outlineLevel="0" collapsed="false">
      <c r="A346" s="5" t="s">
        <v>658</v>
      </c>
      <c r="B346" s="5" t="s">
        <v>1805</v>
      </c>
      <c r="C346" s="5" t="s">
        <v>49</v>
      </c>
      <c r="D346" s="5" t="s">
        <v>995</v>
      </c>
      <c r="E346" s="5" t="s">
        <v>996</v>
      </c>
      <c r="F346" s="5" t="s">
        <v>809</v>
      </c>
      <c r="G346" s="5" t="s">
        <v>809</v>
      </c>
      <c r="H346" s="5" t="s">
        <v>801</v>
      </c>
    </row>
    <row r="347" customFormat="false" ht="15" hidden="false" customHeight="false" outlineLevel="0" collapsed="false">
      <c r="A347" s="5" t="s">
        <v>660</v>
      </c>
      <c r="B347" s="5" t="s">
        <v>1806</v>
      </c>
      <c r="C347" s="5" t="s">
        <v>54</v>
      </c>
      <c r="D347" s="5" t="s">
        <v>995</v>
      </c>
      <c r="E347" s="5" t="s">
        <v>996</v>
      </c>
      <c r="F347" s="5" t="s">
        <v>799</v>
      </c>
      <c r="G347" s="5" t="s">
        <v>809</v>
      </c>
      <c r="H347" s="5" t="s">
        <v>801</v>
      </c>
    </row>
    <row r="348" customFormat="false" ht="15" hidden="false" customHeight="false" outlineLevel="0" collapsed="false">
      <c r="A348" s="5" t="s">
        <v>662</v>
      </c>
      <c r="B348" s="5" t="s">
        <v>1807</v>
      </c>
      <c r="C348" s="5" t="s">
        <v>80</v>
      </c>
      <c r="D348" s="5" t="s">
        <v>995</v>
      </c>
      <c r="E348" s="5" t="s">
        <v>996</v>
      </c>
      <c r="F348" s="5" t="s">
        <v>809</v>
      </c>
      <c r="G348" s="5" t="s">
        <v>809</v>
      </c>
      <c r="H348" s="5" t="s">
        <v>801</v>
      </c>
    </row>
    <row r="349" customFormat="false" ht="15" hidden="false" customHeight="false" outlineLevel="0" collapsed="false">
      <c r="A349" s="5" t="s">
        <v>664</v>
      </c>
      <c r="B349" s="5" t="s">
        <v>1808</v>
      </c>
      <c r="C349" s="5" t="s">
        <v>67</v>
      </c>
      <c r="D349" s="5" t="s">
        <v>995</v>
      </c>
      <c r="E349" s="5" t="s">
        <v>996</v>
      </c>
      <c r="F349" s="5" t="s">
        <v>809</v>
      </c>
      <c r="G349" s="5" t="s">
        <v>809</v>
      </c>
      <c r="H349" s="5" t="s">
        <v>801</v>
      </c>
    </row>
    <row r="350" customFormat="false" ht="15" hidden="false" customHeight="false" outlineLevel="0" collapsed="false">
      <c r="A350" s="5" t="s">
        <v>666</v>
      </c>
      <c r="B350" s="5" t="s">
        <v>1809</v>
      </c>
      <c r="C350" s="5" t="s">
        <v>38</v>
      </c>
      <c r="D350" s="5" t="s">
        <v>995</v>
      </c>
      <c r="E350" s="5" t="s">
        <v>996</v>
      </c>
      <c r="F350" s="5" t="s">
        <v>823</v>
      </c>
      <c r="G350" s="5" t="s">
        <v>809</v>
      </c>
      <c r="H350" s="5" t="s">
        <v>801</v>
      </c>
    </row>
    <row r="351" customFormat="false" ht="15" hidden="false" customHeight="false" outlineLevel="0" collapsed="false">
      <c r="A351" s="5" t="s">
        <v>668</v>
      </c>
      <c r="B351" s="5" t="s">
        <v>1810</v>
      </c>
      <c r="C351" s="5" t="s">
        <v>43</v>
      </c>
      <c r="D351" s="5" t="s">
        <v>995</v>
      </c>
      <c r="E351" s="5" t="s">
        <v>996</v>
      </c>
      <c r="F351" s="5" t="s">
        <v>1811</v>
      </c>
      <c r="G351" s="5" t="s">
        <v>809</v>
      </c>
      <c r="H351" s="5" t="s">
        <v>801</v>
      </c>
    </row>
    <row r="352" customFormat="false" ht="23.85" hidden="false" customHeight="false" outlineLevel="0" collapsed="false">
      <c r="A352" s="5" t="s">
        <v>670</v>
      </c>
      <c r="B352" s="5" t="s">
        <v>1107</v>
      </c>
      <c r="C352" s="5" t="s">
        <v>46</v>
      </c>
      <c r="D352" s="5" t="s">
        <v>1812</v>
      </c>
      <c r="E352" s="5" t="s">
        <v>1813</v>
      </c>
      <c r="F352" s="5" t="s">
        <v>1814</v>
      </c>
      <c r="G352" s="5" t="s">
        <v>810</v>
      </c>
      <c r="H352" s="5" t="s">
        <v>801</v>
      </c>
    </row>
    <row r="353" customFormat="false" ht="23.85" hidden="false" customHeight="false" outlineLevel="0" collapsed="false">
      <c r="A353" s="5" t="s">
        <v>670</v>
      </c>
      <c r="B353" s="5" t="s">
        <v>1815</v>
      </c>
      <c r="C353" s="5" t="s">
        <v>43</v>
      </c>
      <c r="D353" s="5" t="s">
        <v>1816</v>
      </c>
      <c r="E353" s="5" t="s">
        <v>1817</v>
      </c>
      <c r="F353" s="5" t="s">
        <v>1022</v>
      </c>
      <c r="G353" s="5" t="s">
        <v>800</v>
      </c>
      <c r="H353" s="5" t="s">
        <v>801</v>
      </c>
    </row>
    <row r="354" customFormat="false" ht="23.85" hidden="false" customHeight="false" outlineLevel="0" collapsed="false">
      <c r="A354" s="5" t="s">
        <v>673</v>
      </c>
      <c r="B354" s="5" t="s">
        <v>1818</v>
      </c>
      <c r="C354" s="5" t="s">
        <v>38</v>
      </c>
      <c r="D354" s="5" t="s">
        <v>1819</v>
      </c>
      <c r="E354" s="5" t="s">
        <v>1820</v>
      </c>
      <c r="F354" s="5" t="s">
        <v>1821</v>
      </c>
      <c r="G354" s="5" t="s">
        <v>800</v>
      </c>
      <c r="H354" s="5" t="s">
        <v>801</v>
      </c>
    </row>
    <row r="355" customFormat="false" ht="23.85" hidden="false" customHeight="false" outlineLevel="0" collapsed="false">
      <c r="A355" s="5" t="s">
        <v>673</v>
      </c>
      <c r="B355" s="5" t="s">
        <v>1822</v>
      </c>
      <c r="C355" s="5" t="s">
        <v>80</v>
      </c>
      <c r="D355" s="5" t="s">
        <v>1823</v>
      </c>
      <c r="E355" s="5" t="s">
        <v>1824</v>
      </c>
      <c r="F355" s="5" t="s">
        <v>1022</v>
      </c>
      <c r="G355" s="5" t="s">
        <v>800</v>
      </c>
      <c r="H355" s="5" t="s">
        <v>801</v>
      </c>
    </row>
    <row r="356" customFormat="false" ht="23.85" hidden="false" customHeight="false" outlineLevel="0" collapsed="false">
      <c r="A356" s="5" t="s">
        <v>676</v>
      </c>
      <c r="B356" s="5" t="s">
        <v>1825</v>
      </c>
      <c r="C356" s="5" t="s">
        <v>32</v>
      </c>
      <c r="D356" s="5" t="s">
        <v>1826</v>
      </c>
      <c r="E356" s="5" t="s">
        <v>1827</v>
      </c>
      <c r="F356" s="5" t="s">
        <v>1828</v>
      </c>
      <c r="G356" s="5" t="s">
        <v>857</v>
      </c>
      <c r="H356" s="5" t="s">
        <v>801</v>
      </c>
    </row>
    <row r="357" customFormat="false" ht="23.85" hidden="false" customHeight="false" outlineLevel="0" collapsed="false">
      <c r="A357" s="5" t="s">
        <v>676</v>
      </c>
      <c r="B357" s="5" t="s">
        <v>1829</v>
      </c>
      <c r="C357" s="5" t="s">
        <v>43</v>
      </c>
      <c r="D357" s="5" t="s">
        <v>1830</v>
      </c>
      <c r="E357" s="5" t="s">
        <v>1831</v>
      </c>
      <c r="F357" s="5" t="s">
        <v>1022</v>
      </c>
      <c r="G357" s="5" t="s">
        <v>857</v>
      </c>
      <c r="H357" s="5" t="s">
        <v>801</v>
      </c>
    </row>
    <row r="358" customFormat="false" ht="23.85" hidden="false" customHeight="false" outlineLevel="0" collapsed="false">
      <c r="A358" s="5" t="s">
        <v>678</v>
      </c>
      <c r="B358" s="5" t="s">
        <v>1832</v>
      </c>
      <c r="C358" s="5" t="s">
        <v>67</v>
      </c>
      <c r="D358" s="5" t="s">
        <v>1833</v>
      </c>
      <c r="E358" s="5" t="s">
        <v>1834</v>
      </c>
      <c r="F358" s="5" t="s">
        <v>1835</v>
      </c>
      <c r="G358" s="5" t="s">
        <v>828</v>
      </c>
      <c r="H358" s="5" t="s">
        <v>801</v>
      </c>
    </row>
    <row r="359" customFormat="false" ht="23.85" hidden="false" customHeight="false" outlineLevel="0" collapsed="false">
      <c r="A359" s="5" t="s">
        <v>678</v>
      </c>
      <c r="B359" s="5" t="s">
        <v>1836</v>
      </c>
      <c r="C359" s="5" t="s">
        <v>49</v>
      </c>
      <c r="D359" s="5" t="s">
        <v>1837</v>
      </c>
      <c r="E359" s="5" t="s">
        <v>1838</v>
      </c>
      <c r="F359" s="5" t="s">
        <v>1022</v>
      </c>
      <c r="G359" s="5" t="s">
        <v>828</v>
      </c>
      <c r="H359" s="5" t="s">
        <v>801</v>
      </c>
    </row>
    <row r="360" customFormat="false" ht="23.85" hidden="false" customHeight="false" outlineLevel="0" collapsed="false">
      <c r="A360" s="5" t="s">
        <v>680</v>
      </c>
      <c r="B360" s="5" t="s">
        <v>1839</v>
      </c>
      <c r="C360" s="5" t="s">
        <v>46</v>
      </c>
      <c r="D360" s="5" t="s">
        <v>1840</v>
      </c>
      <c r="E360" s="5" t="s">
        <v>1841</v>
      </c>
      <c r="F360" s="5" t="s">
        <v>1842</v>
      </c>
      <c r="G360" s="5" t="s">
        <v>810</v>
      </c>
      <c r="H360" s="5" t="s">
        <v>801</v>
      </c>
    </row>
    <row r="361" customFormat="false" ht="15" hidden="false" customHeight="false" outlineLevel="0" collapsed="false">
      <c r="A361" s="5" t="s">
        <v>680</v>
      </c>
      <c r="B361" s="5" t="s">
        <v>1030</v>
      </c>
      <c r="C361" s="5" t="s">
        <v>27</v>
      </c>
      <c r="D361" s="5" t="s">
        <v>1843</v>
      </c>
      <c r="E361" s="5" t="s">
        <v>1844</v>
      </c>
      <c r="F361" s="5" t="s">
        <v>1022</v>
      </c>
      <c r="G361" s="5" t="s">
        <v>810</v>
      </c>
      <c r="H361" s="5" t="s">
        <v>801</v>
      </c>
    </row>
    <row r="362" customFormat="false" ht="23.85" hidden="false" customHeight="false" outlineLevel="0" collapsed="false">
      <c r="A362" s="5" t="s">
        <v>683</v>
      </c>
      <c r="B362" s="5" t="s">
        <v>1845</v>
      </c>
      <c r="C362" s="5" t="s">
        <v>80</v>
      </c>
      <c r="D362" s="5" t="s">
        <v>1846</v>
      </c>
      <c r="E362" s="5" t="s">
        <v>1847</v>
      </c>
      <c r="F362" s="5" t="s">
        <v>1848</v>
      </c>
      <c r="G362" s="5" t="s">
        <v>828</v>
      </c>
      <c r="H362" s="5" t="s">
        <v>801</v>
      </c>
    </row>
    <row r="363" customFormat="false" ht="23.85" hidden="false" customHeight="false" outlineLevel="0" collapsed="false">
      <c r="A363" s="5" t="s">
        <v>683</v>
      </c>
      <c r="B363" s="5" t="s">
        <v>1849</v>
      </c>
      <c r="C363" s="5" t="s">
        <v>67</v>
      </c>
      <c r="D363" s="5" t="s">
        <v>1850</v>
      </c>
      <c r="E363" s="5" t="s">
        <v>1851</v>
      </c>
      <c r="F363" s="5" t="s">
        <v>1022</v>
      </c>
      <c r="G363" s="5" t="s">
        <v>828</v>
      </c>
      <c r="H363" s="5" t="s">
        <v>801</v>
      </c>
    </row>
    <row r="364" customFormat="false" ht="23.85" hidden="false" customHeight="false" outlineLevel="0" collapsed="false">
      <c r="A364" s="5" t="s">
        <v>686</v>
      </c>
      <c r="B364" s="5" t="s">
        <v>1852</v>
      </c>
      <c r="C364" s="5" t="s">
        <v>35</v>
      </c>
      <c r="D364" s="5" t="s">
        <v>1853</v>
      </c>
      <c r="E364" s="5" t="s">
        <v>1854</v>
      </c>
      <c r="F364" s="5" t="s">
        <v>809</v>
      </c>
      <c r="G364" s="5" t="s">
        <v>852</v>
      </c>
      <c r="H364" s="5" t="s">
        <v>801</v>
      </c>
    </row>
    <row r="365" customFormat="false" ht="23.85" hidden="false" customHeight="false" outlineLevel="0" collapsed="false">
      <c r="A365" s="5" t="s">
        <v>686</v>
      </c>
      <c r="B365" s="5" t="s">
        <v>1855</v>
      </c>
      <c r="C365" s="5" t="s">
        <v>38</v>
      </c>
      <c r="D365" s="5" t="s">
        <v>1856</v>
      </c>
      <c r="E365" s="5" t="s">
        <v>1857</v>
      </c>
      <c r="F365" s="5" t="s">
        <v>1022</v>
      </c>
      <c r="G365" s="5" t="s">
        <v>852</v>
      </c>
      <c r="H365" s="5" t="s">
        <v>801</v>
      </c>
    </row>
    <row r="366" customFormat="false" ht="15" hidden="false" customHeight="false" outlineLevel="0" collapsed="false">
      <c r="A366" s="5" t="s">
        <v>688</v>
      </c>
      <c r="B366" s="5" t="s">
        <v>1858</v>
      </c>
      <c r="C366" s="5" t="s">
        <v>54</v>
      </c>
      <c r="D366" s="5" t="s">
        <v>1859</v>
      </c>
      <c r="E366" s="5" t="s">
        <v>1860</v>
      </c>
      <c r="F366" s="5" t="s">
        <v>809</v>
      </c>
      <c r="G366" s="5" t="s">
        <v>800</v>
      </c>
      <c r="H366" s="5" t="s">
        <v>801</v>
      </c>
    </row>
    <row r="367" customFormat="false" ht="15" hidden="false" customHeight="false" outlineLevel="0" collapsed="false">
      <c r="A367" s="5" t="s">
        <v>688</v>
      </c>
      <c r="B367" s="5" t="s">
        <v>1861</v>
      </c>
      <c r="C367" s="5" t="s">
        <v>32</v>
      </c>
      <c r="D367" s="5" t="s">
        <v>1862</v>
      </c>
      <c r="E367" s="5" t="s">
        <v>1863</v>
      </c>
      <c r="F367" s="5" t="s">
        <v>1022</v>
      </c>
      <c r="G367" s="5" t="s">
        <v>800</v>
      </c>
      <c r="H367" s="5" t="s">
        <v>801</v>
      </c>
    </row>
    <row r="368" customFormat="false" ht="15" hidden="false" customHeight="false" outlineLevel="0" collapsed="false">
      <c r="A368" s="5" t="s">
        <v>690</v>
      </c>
      <c r="B368" s="5" t="s">
        <v>1864</v>
      </c>
      <c r="C368" s="5" t="s">
        <v>49</v>
      </c>
      <c r="D368" s="5" t="s">
        <v>1865</v>
      </c>
      <c r="E368" s="5" t="s">
        <v>1866</v>
      </c>
      <c r="F368" s="5" t="s">
        <v>1867</v>
      </c>
      <c r="G368" s="5" t="s">
        <v>815</v>
      </c>
      <c r="H368" s="5" t="s">
        <v>801</v>
      </c>
    </row>
    <row r="369" customFormat="false" ht="23.85" hidden="false" customHeight="false" outlineLevel="0" collapsed="false">
      <c r="A369" s="5" t="s">
        <v>690</v>
      </c>
      <c r="B369" s="5" t="s">
        <v>1868</v>
      </c>
      <c r="C369" s="5" t="s">
        <v>38</v>
      </c>
      <c r="D369" s="5" t="s">
        <v>1869</v>
      </c>
      <c r="E369" s="5" t="s">
        <v>1870</v>
      </c>
      <c r="F369" s="5" t="s">
        <v>1022</v>
      </c>
      <c r="G369" s="5" t="s">
        <v>815</v>
      </c>
      <c r="H369" s="5" t="s">
        <v>801</v>
      </c>
    </row>
    <row r="370" customFormat="false" ht="23.85" hidden="false" customHeight="false" outlineLevel="0" collapsed="false">
      <c r="A370" s="5" t="s">
        <v>693</v>
      </c>
      <c r="B370" s="5" t="s">
        <v>1871</v>
      </c>
      <c r="C370" s="5" t="s">
        <v>27</v>
      </c>
      <c r="D370" s="5" t="s">
        <v>1872</v>
      </c>
      <c r="E370" s="5" t="s">
        <v>1873</v>
      </c>
      <c r="F370" s="5" t="s">
        <v>1874</v>
      </c>
      <c r="G370" s="5" t="s">
        <v>862</v>
      </c>
      <c r="H370" s="5" t="s">
        <v>801</v>
      </c>
    </row>
    <row r="371" customFormat="false" ht="23.85" hidden="false" customHeight="false" outlineLevel="0" collapsed="false">
      <c r="A371" s="5" t="s">
        <v>693</v>
      </c>
      <c r="B371" s="5" t="s">
        <v>1875</v>
      </c>
      <c r="C371" s="5" t="s">
        <v>80</v>
      </c>
      <c r="D371" s="5" t="s">
        <v>1876</v>
      </c>
      <c r="E371" s="5" t="s">
        <v>1877</v>
      </c>
      <c r="F371" s="5" t="s">
        <v>1022</v>
      </c>
      <c r="G371" s="5" t="s">
        <v>828</v>
      </c>
      <c r="H371" s="5" t="s">
        <v>801</v>
      </c>
    </row>
    <row r="372" customFormat="false" ht="23.85" hidden="false" customHeight="false" outlineLevel="0" collapsed="false">
      <c r="A372" s="5" t="s">
        <v>695</v>
      </c>
      <c r="B372" s="5" t="s">
        <v>1878</v>
      </c>
      <c r="C372" s="5" t="s">
        <v>43</v>
      </c>
      <c r="D372" s="5" t="s">
        <v>1879</v>
      </c>
      <c r="E372" s="5" t="s">
        <v>1880</v>
      </c>
      <c r="F372" s="5" t="s">
        <v>1881</v>
      </c>
      <c r="G372" s="5" t="s">
        <v>852</v>
      </c>
      <c r="H372" s="5" t="s">
        <v>801</v>
      </c>
    </row>
    <row r="373" customFormat="false" ht="15" hidden="false" customHeight="false" outlineLevel="0" collapsed="false">
      <c r="A373" s="5" t="s">
        <v>695</v>
      </c>
      <c r="B373" s="5" t="s">
        <v>1882</v>
      </c>
      <c r="C373" s="5" t="s">
        <v>67</v>
      </c>
      <c r="D373" s="5" t="s">
        <v>1883</v>
      </c>
      <c r="E373" s="5" t="s">
        <v>1884</v>
      </c>
      <c r="F373" s="5" t="s">
        <v>1022</v>
      </c>
      <c r="G373" s="5" t="s">
        <v>852</v>
      </c>
      <c r="H373" s="5" t="s">
        <v>801</v>
      </c>
    </row>
    <row r="374" customFormat="false" ht="23.85" hidden="false" customHeight="false" outlineLevel="0" collapsed="false">
      <c r="A374" s="5" t="s">
        <v>698</v>
      </c>
      <c r="B374" s="5" t="s">
        <v>1885</v>
      </c>
      <c r="C374" s="5" t="s">
        <v>35</v>
      </c>
      <c r="D374" s="5" t="s">
        <v>1886</v>
      </c>
      <c r="E374" s="5" t="s">
        <v>1887</v>
      </c>
      <c r="F374" s="5" t="s">
        <v>799</v>
      </c>
      <c r="G374" s="5" t="s">
        <v>857</v>
      </c>
      <c r="H374" s="5" t="s">
        <v>801</v>
      </c>
    </row>
    <row r="375" customFormat="false" ht="15" hidden="false" customHeight="false" outlineLevel="0" collapsed="false">
      <c r="A375" s="5" t="s">
        <v>698</v>
      </c>
      <c r="B375" s="5" t="s">
        <v>1888</v>
      </c>
      <c r="C375" s="5" t="s">
        <v>46</v>
      </c>
      <c r="D375" s="5" t="s">
        <v>1889</v>
      </c>
      <c r="E375" s="5" t="s">
        <v>1890</v>
      </c>
      <c r="F375" s="5" t="s">
        <v>1022</v>
      </c>
      <c r="G375" s="5" t="s">
        <v>857</v>
      </c>
      <c r="H375" s="5" t="s">
        <v>801</v>
      </c>
    </row>
    <row r="376" customFormat="false" ht="15" hidden="false" customHeight="false" outlineLevel="0" collapsed="false">
      <c r="A376" s="5" t="s">
        <v>700</v>
      </c>
      <c r="B376" s="5" t="s">
        <v>1891</v>
      </c>
      <c r="C376" s="5" t="s">
        <v>54</v>
      </c>
      <c r="D376" s="5" t="s">
        <v>1892</v>
      </c>
      <c r="E376" s="5" t="s">
        <v>1893</v>
      </c>
      <c r="F376" s="5" t="s">
        <v>809</v>
      </c>
      <c r="G376" s="5" t="s">
        <v>832</v>
      </c>
      <c r="H376" s="5" t="s">
        <v>801</v>
      </c>
    </row>
    <row r="377" customFormat="false" ht="15" hidden="false" customHeight="false" outlineLevel="0" collapsed="false">
      <c r="A377" s="5" t="s">
        <v>700</v>
      </c>
      <c r="B377" s="5" t="s">
        <v>1894</v>
      </c>
      <c r="C377" s="5" t="s">
        <v>32</v>
      </c>
      <c r="D377" s="5" t="s">
        <v>1895</v>
      </c>
      <c r="E377" s="5" t="s">
        <v>1896</v>
      </c>
      <c r="F377" s="5" t="s">
        <v>1022</v>
      </c>
      <c r="G377" s="5" t="s">
        <v>832</v>
      </c>
      <c r="H377" s="5" t="s">
        <v>801</v>
      </c>
    </row>
    <row r="378" customFormat="false" ht="23.85" hidden="false" customHeight="false" outlineLevel="0" collapsed="false">
      <c r="A378" s="5" t="s">
        <v>702</v>
      </c>
      <c r="B378" s="5" t="s">
        <v>1897</v>
      </c>
      <c r="C378" s="5" t="s">
        <v>38</v>
      </c>
      <c r="D378" s="5" t="s">
        <v>1898</v>
      </c>
      <c r="E378" s="5" t="s">
        <v>1899</v>
      </c>
      <c r="F378" s="5" t="s">
        <v>1900</v>
      </c>
      <c r="G378" s="5" t="s">
        <v>828</v>
      </c>
      <c r="H378" s="5" t="s">
        <v>801</v>
      </c>
    </row>
    <row r="379" customFormat="false" ht="23.85" hidden="false" customHeight="false" outlineLevel="0" collapsed="false">
      <c r="A379" s="5" t="s">
        <v>702</v>
      </c>
      <c r="B379" s="5" t="s">
        <v>1901</v>
      </c>
      <c r="C379" s="5" t="s">
        <v>49</v>
      </c>
      <c r="D379" s="5" t="s">
        <v>1902</v>
      </c>
      <c r="E379" s="5" t="s">
        <v>1903</v>
      </c>
      <c r="F379" s="5" t="s">
        <v>1022</v>
      </c>
      <c r="G379" s="5" t="s">
        <v>828</v>
      </c>
      <c r="H379" s="5" t="s">
        <v>801</v>
      </c>
    </row>
    <row r="380" customFormat="false" ht="23.85" hidden="false" customHeight="false" outlineLevel="0" collapsed="false">
      <c r="A380" s="5" t="s">
        <v>704</v>
      </c>
      <c r="B380" s="5" t="s">
        <v>1904</v>
      </c>
      <c r="C380" s="5" t="s">
        <v>80</v>
      </c>
      <c r="D380" s="5" t="s">
        <v>1905</v>
      </c>
      <c r="E380" s="5" t="s">
        <v>1906</v>
      </c>
      <c r="F380" s="5" t="s">
        <v>809</v>
      </c>
      <c r="G380" s="5" t="s">
        <v>800</v>
      </c>
      <c r="H380" s="5" t="s">
        <v>801</v>
      </c>
    </row>
    <row r="381" customFormat="false" ht="23.85" hidden="false" customHeight="false" outlineLevel="0" collapsed="false">
      <c r="A381" s="5" t="s">
        <v>704</v>
      </c>
      <c r="B381" s="5" t="s">
        <v>1907</v>
      </c>
      <c r="C381" s="5" t="s">
        <v>32</v>
      </c>
      <c r="D381" s="5" t="s">
        <v>1908</v>
      </c>
      <c r="E381" s="5" t="s">
        <v>1909</v>
      </c>
      <c r="F381" s="5" t="s">
        <v>1022</v>
      </c>
      <c r="G381" s="5" t="s">
        <v>800</v>
      </c>
      <c r="H381" s="5" t="s">
        <v>801</v>
      </c>
    </row>
    <row r="382" customFormat="false" ht="23.85" hidden="false" customHeight="false" outlineLevel="0" collapsed="false">
      <c r="A382" s="5" t="s">
        <v>706</v>
      </c>
      <c r="B382" s="5" t="s">
        <v>1910</v>
      </c>
      <c r="C382" s="5" t="s">
        <v>46</v>
      </c>
      <c r="D382" s="5" t="s">
        <v>1911</v>
      </c>
      <c r="E382" s="5" t="s">
        <v>1912</v>
      </c>
      <c r="F382" s="5" t="s">
        <v>1913</v>
      </c>
      <c r="G382" s="5" t="s">
        <v>828</v>
      </c>
      <c r="H382" s="5" t="s">
        <v>801</v>
      </c>
    </row>
    <row r="383" customFormat="false" ht="23.85" hidden="false" customHeight="false" outlineLevel="0" collapsed="false">
      <c r="A383" s="5" t="s">
        <v>706</v>
      </c>
      <c r="B383" s="5" t="s">
        <v>1914</v>
      </c>
      <c r="C383" s="5" t="s">
        <v>49</v>
      </c>
      <c r="D383" s="5" t="s">
        <v>1915</v>
      </c>
      <c r="E383" s="5" t="s">
        <v>1916</v>
      </c>
      <c r="F383" s="5" t="s">
        <v>1022</v>
      </c>
      <c r="G383" s="5" t="s">
        <v>828</v>
      </c>
      <c r="H383" s="5" t="s">
        <v>801</v>
      </c>
    </row>
    <row r="384" customFormat="false" ht="23.85" hidden="false" customHeight="false" outlineLevel="0" collapsed="false">
      <c r="A384" s="5" t="s">
        <v>709</v>
      </c>
      <c r="B384" s="5" t="s">
        <v>1917</v>
      </c>
      <c r="C384" s="5" t="s">
        <v>67</v>
      </c>
      <c r="D384" s="5" t="s">
        <v>1918</v>
      </c>
      <c r="E384" s="5" t="s">
        <v>1919</v>
      </c>
      <c r="F384" s="5" t="s">
        <v>809</v>
      </c>
      <c r="G384" s="5" t="s">
        <v>810</v>
      </c>
      <c r="H384" s="5" t="s">
        <v>801</v>
      </c>
    </row>
    <row r="385" customFormat="false" ht="23.85" hidden="false" customHeight="false" outlineLevel="0" collapsed="false">
      <c r="A385" s="5" t="s">
        <v>709</v>
      </c>
      <c r="B385" s="5" t="s">
        <v>1920</v>
      </c>
      <c r="C385" s="5" t="s">
        <v>35</v>
      </c>
      <c r="D385" s="5" t="s">
        <v>1921</v>
      </c>
      <c r="E385" s="5" t="s">
        <v>1922</v>
      </c>
      <c r="F385" s="5" t="s">
        <v>1022</v>
      </c>
      <c r="G385" s="5" t="s">
        <v>810</v>
      </c>
      <c r="H385" s="5" t="s">
        <v>801</v>
      </c>
    </row>
    <row r="386" customFormat="false" ht="15" hidden="false" customHeight="false" outlineLevel="0" collapsed="false">
      <c r="A386" s="5" t="s">
        <v>712</v>
      </c>
      <c r="B386" s="5" t="s">
        <v>1923</v>
      </c>
      <c r="C386" s="5" t="s">
        <v>27</v>
      </c>
      <c r="D386" s="5" t="s">
        <v>1924</v>
      </c>
      <c r="E386" s="5" t="s">
        <v>1925</v>
      </c>
      <c r="F386" s="5" t="s">
        <v>1926</v>
      </c>
      <c r="G386" s="5" t="s">
        <v>800</v>
      </c>
      <c r="H386" s="5" t="s">
        <v>801</v>
      </c>
    </row>
    <row r="387" customFormat="false" ht="23.85" hidden="false" customHeight="false" outlineLevel="0" collapsed="false">
      <c r="A387" s="5" t="s">
        <v>712</v>
      </c>
      <c r="B387" s="5" t="s">
        <v>1189</v>
      </c>
      <c r="C387" s="5" t="s">
        <v>43</v>
      </c>
      <c r="D387" s="5" t="s">
        <v>1927</v>
      </c>
      <c r="E387" s="5" t="s">
        <v>1928</v>
      </c>
      <c r="F387" s="5" t="s">
        <v>1022</v>
      </c>
      <c r="G387" s="5" t="s">
        <v>800</v>
      </c>
      <c r="H387" s="5" t="s">
        <v>801</v>
      </c>
    </row>
    <row r="388" customFormat="false" ht="23.85" hidden="false" customHeight="false" outlineLevel="0" collapsed="false">
      <c r="A388" s="5" t="s">
        <v>714</v>
      </c>
      <c r="B388" s="5" t="s">
        <v>1929</v>
      </c>
      <c r="C388" s="5" t="s">
        <v>54</v>
      </c>
      <c r="D388" s="5" t="s">
        <v>1930</v>
      </c>
      <c r="E388" s="5" t="s">
        <v>1931</v>
      </c>
      <c r="F388" s="5" t="s">
        <v>1932</v>
      </c>
      <c r="G388" s="5" t="s">
        <v>852</v>
      </c>
      <c r="H388" s="5" t="s">
        <v>801</v>
      </c>
    </row>
    <row r="389" customFormat="false" ht="23.85" hidden="false" customHeight="false" outlineLevel="0" collapsed="false">
      <c r="A389" s="5" t="s">
        <v>714</v>
      </c>
      <c r="B389" s="5" t="s">
        <v>1933</v>
      </c>
      <c r="C389" s="5" t="s">
        <v>38</v>
      </c>
      <c r="D389" s="5" t="s">
        <v>1934</v>
      </c>
      <c r="E389" s="5" t="s">
        <v>1935</v>
      </c>
      <c r="F389" s="5" t="s">
        <v>1022</v>
      </c>
      <c r="G389" s="5" t="s">
        <v>852</v>
      </c>
      <c r="H389" s="5" t="s">
        <v>801</v>
      </c>
    </row>
    <row r="390" customFormat="false" ht="15" hidden="false" customHeight="false" outlineLevel="0" collapsed="false">
      <c r="A390" s="5" t="s">
        <v>716</v>
      </c>
      <c r="B390" s="5" t="s">
        <v>1936</v>
      </c>
      <c r="C390" s="5" t="s">
        <v>49</v>
      </c>
      <c r="D390" s="5" t="s">
        <v>1937</v>
      </c>
      <c r="E390" s="5" t="s">
        <v>1938</v>
      </c>
      <c r="F390" s="5" t="s">
        <v>809</v>
      </c>
      <c r="G390" s="5" t="s">
        <v>862</v>
      </c>
      <c r="H390" s="5" t="s">
        <v>801</v>
      </c>
    </row>
    <row r="391" customFormat="false" ht="15" hidden="false" customHeight="false" outlineLevel="0" collapsed="false">
      <c r="A391" s="5" t="s">
        <v>716</v>
      </c>
      <c r="B391" s="5" t="s">
        <v>1939</v>
      </c>
      <c r="C391" s="5" t="s">
        <v>67</v>
      </c>
      <c r="D391" s="5" t="s">
        <v>1940</v>
      </c>
      <c r="E391" s="5" t="s">
        <v>1941</v>
      </c>
      <c r="F391" s="5" t="s">
        <v>1022</v>
      </c>
      <c r="G391" s="5" t="s">
        <v>832</v>
      </c>
      <c r="H391" s="5" t="s">
        <v>801</v>
      </c>
    </row>
    <row r="392" customFormat="false" ht="23.85" hidden="false" customHeight="false" outlineLevel="0" collapsed="false">
      <c r="A392" s="5" t="s">
        <v>719</v>
      </c>
      <c r="B392" s="5" t="s">
        <v>1942</v>
      </c>
      <c r="C392" s="5" t="s">
        <v>35</v>
      </c>
      <c r="D392" s="5" t="s">
        <v>1943</v>
      </c>
      <c r="E392" s="5" t="s">
        <v>1944</v>
      </c>
      <c r="F392" s="5" t="s">
        <v>1945</v>
      </c>
      <c r="G392" s="5" t="s">
        <v>800</v>
      </c>
      <c r="H392" s="5" t="s">
        <v>801</v>
      </c>
    </row>
    <row r="393" customFormat="false" ht="23.85" hidden="false" customHeight="false" outlineLevel="0" collapsed="false">
      <c r="A393" s="5" t="s">
        <v>719</v>
      </c>
      <c r="B393" s="5" t="s">
        <v>1946</v>
      </c>
      <c r="C393" s="5" t="s">
        <v>80</v>
      </c>
      <c r="D393" s="5" t="s">
        <v>1947</v>
      </c>
      <c r="E393" s="5" t="s">
        <v>1948</v>
      </c>
      <c r="F393" s="5" t="s">
        <v>1022</v>
      </c>
      <c r="G393" s="5" t="s">
        <v>800</v>
      </c>
      <c r="H393" s="5" t="s">
        <v>801</v>
      </c>
    </row>
    <row r="394" customFormat="false" ht="23.85" hidden="false" customHeight="false" outlineLevel="0" collapsed="false">
      <c r="A394" s="5" t="s">
        <v>721</v>
      </c>
      <c r="B394" s="5" t="s">
        <v>1949</v>
      </c>
      <c r="C394" s="5" t="s">
        <v>46</v>
      </c>
      <c r="D394" s="5" t="s">
        <v>1950</v>
      </c>
      <c r="E394" s="5" t="s">
        <v>1951</v>
      </c>
      <c r="F394" s="5" t="s">
        <v>809</v>
      </c>
      <c r="G394" s="5" t="s">
        <v>832</v>
      </c>
      <c r="H394" s="5" t="s">
        <v>801</v>
      </c>
    </row>
    <row r="395" customFormat="false" ht="15" hidden="false" customHeight="false" outlineLevel="0" collapsed="false">
      <c r="A395" s="5" t="s">
        <v>721</v>
      </c>
      <c r="B395" s="5" t="s">
        <v>1952</v>
      </c>
      <c r="C395" s="5" t="s">
        <v>32</v>
      </c>
      <c r="D395" s="5" t="s">
        <v>1953</v>
      </c>
      <c r="E395" s="5" t="s">
        <v>1954</v>
      </c>
      <c r="F395" s="5" t="s">
        <v>1022</v>
      </c>
      <c r="G395" s="5" t="s">
        <v>832</v>
      </c>
      <c r="H395" s="5" t="s">
        <v>801</v>
      </c>
    </row>
    <row r="396" customFormat="false" ht="23.85" hidden="false" customHeight="false" outlineLevel="0" collapsed="false">
      <c r="A396" s="5" t="s">
        <v>724</v>
      </c>
      <c r="B396" s="5" t="s">
        <v>1955</v>
      </c>
      <c r="C396" s="5" t="s">
        <v>43</v>
      </c>
      <c r="D396" s="5" t="s">
        <v>1956</v>
      </c>
      <c r="E396" s="5" t="s">
        <v>1957</v>
      </c>
      <c r="F396" s="5" t="s">
        <v>1678</v>
      </c>
      <c r="G396" s="5" t="s">
        <v>857</v>
      </c>
      <c r="H396" s="5" t="s">
        <v>801</v>
      </c>
    </row>
    <row r="397" customFormat="false" ht="15" hidden="false" customHeight="false" outlineLevel="0" collapsed="false">
      <c r="A397" s="5" t="s">
        <v>724</v>
      </c>
      <c r="B397" s="5" t="s">
        <v>1958</v>
      </c>
      <c r="C397" s="5" t="s">
        <v>27</v>
      </c>
      <c r="D397" s="5" t="s">
        <v>1959</v>
      </c>
      <c r="E397" s="5" t="s">
        <v>1960</v>
      </c>
      <c r="F397" s="5" t="s">
        <v>1022</v>
      </c>
      <c r="G397" s="5" t="s">
        <v>857</v>
      </c>
      <c r="H397" s="5" t="s">
        <v>801</v>
      </c>
    </row>
    <row r="398" customFormat="false" ht="15" hidden="false" customHeight="false" outlineLevel="0" collapsed="false">
      <c r="A398" s="5" t="s">
        <v>727</v>
      </c>
      <c r="B398" s="5" t="s">
        <v>1961</v>
      </c>
      <c r="C398" s="5" t="s">
        <v>54</v>
      </c>
      <c r="D398" s="5" t="s">
        <v>1962</v>
      </c>
      <c r="E398" s="5" t="s">
        <v>1963</v>
      </c>
      <c r="F398" s="5" t="s">
        <v>809</v>
      </c>
      <c r="G398" s="5" t="s">
        <v>810</v>
      </c>
      <c r="H398" s="5" t="s">
        <v>801</v>
      </c>
    </row>
    <row r="399" customFormat="false" ht="15" hidden="false" customHeight="false" outlineLevel="0" collapsed="false">
      <c r="A399" s="5" t="s">
        <v>727</v>
      </c>
      <c r="B399" s="5" t="s">
        <v>1964</v>
      </c>
      <c r="C399" s="5" t="s">
        <v>46</v>
      </c>
      <c r="D399" s="5" t="s">
        <v>1965</v>
      </c>
      <c r="E399" s="5" t="s">
        <v>1966</v>
      </c>
      <c r="F399" s="5" t="s">
        <v>1022</v>
      </c>
      <c r="G399" s="5" t="s">
        <v>810</v>
      </c>
      <c r="H399" s="5" t="s">
        <v>801</v>
      </c>
    </row>
    <row r="400" customFormat="false" ht="23.85" hidden="false" customHeight="false" outlineLevel="0" collapsed="false">
      <c r="A400" s="5" t="s">
        <v>730</v>
      </c>
      <c r="B400" s="5" t="s">
        <v>1967</v>
      </c>
      <c r="C400" s="5" t="s">
        <v>32</v>
      </c>
      <c r="D400" s="5" t="s">
        <v>1968</v>
      </c>
      <c r="E400" s="5" t="s">
        <v>1969</v>
      </c>
      <c r="F400" s="5" t="s">
        <v>809</v>
      </c>
      <c r="G400" s="5" t="s">
        <v>852</v>
      </c>
      <c r="H400" s="5" t="s">
        <v>801</v>
      </c>
    </row>
    <row r="401" customFormat="false" ht="23.85" hidden="false" customHeight="false" outlineLevel="0" collapsed="false">
      <c r="A401" s="5" t="s">
        <v>730</v>
      </c>
      <c r="B401" s="5" t="s">
        <v>1970</v>
      </c>
      <c r="C401" s="5" t="s">
        <v>49</v>
      </c>
      <c r="D401" s="5" t="s">
        <v>1971</v>
      </c>
      <c r="E401" s="5" t="s">
        <v>1187</v>
      </c>
      <c r="F401" s="5" t="s">
        <v>1022</v>
      </c>
      <c r="G401" s="5" t="s">
        <v>852</v>
      </c>
      <c r="H401" s="5" t="s">
        <v>801</v>
      </c>
    </row>
    <row r="402" customFormat="false" ht="23.85" hidden="false" customHeight="false" outlineLevel="0" collapsed="false">
      <c r="A402" s="5" t="s">
        <v>732</v>
      </c>
      <c r="B402" s="5" t="s">
        <v>1818</v>
      </c>
      <c r="C402" s="5" t="s">
        <v>38</v>
      </c>
      <c r="D402" s="5" t="s">
        <v>1972</v>
      </c>
      <c r="E402" s="5" t="s">
        <v>1973</v>
      </c>
      <c r="F402" s="5" t="s">
        <v>1974</v>
      </c>
      <c r="G402" s="5" t="s">
        <v>800</v>
      </c>
      <c r="H402" s="5" t="s">
        <v>801</v>
      </c>
    </row>
    <row r="403" customFormat="false" ht="15" hidden="false" customHeight="false" outlineLevel="0" collapsed="false">
      <c r="A403" s="5" t="s">
        <v>732</v>
      </c>
      <c r="B403" s="5" t="s">
        <v>1975</v>
      </c>
      <c r="C403" s="5" t="s">
        <v>43</v>
      </c>
      <c r="D403" s="5" t="s">
        <v>1976</v>
      </c>
      <c r="E403" s="5" t="s">
        <v>1977</v>
      </c>
      <c r="F403" s="5" t="s">
        <v>1022</v>
      </c>
      <c r="G403" s="5" t="s">
        <v>800</v>
      </c>
      <c r="H403" s="5" t="s">
        <v>801</v>
      </c>
    </row>
    <row r="404" customFormat="false" ht="23.85" hidden="false" customHeight="false" outlineLevel="0" collapsed="false">
      <c r="A404" s="5" t="s">
        <v>735</v>
      </c>
      <c r="B404" s="5" t="s">
        <v>1978</v>
      </c>
      <c r="C404" s="5" t="s">
        <v>35</v>
      </c>
      <c r="D404" s="5" t="s">
        <v>1979</v>
      </c>
      <c r="E404" s="5" t="s">
        <v>1980</v>
      </c>
      <c r="F404" s="5" t="s">
        <v>1981</v>
      </c>
      <c r="G404" s="5" t="s">
        <v>810</v>
      </c>
      <c r="H404" s="5" t="s">
        <v>801</v>
      </c>
    </row>
    <row r="405" customFormat="false" ht="15" hidden="false" customHeight="false" outlineLevel="0" collapsed="false">
      <c r="A405" s="5" t="s">
        <v>735</v>
      </c>
      <c r="B405" s="5" t="s">
        <v>1982</v>
      </c>
      <c r="C405" s="5" t="s">
        <v>67</v>
      </c>
      <c r="D405" s="5" t="s">
        <v>1983</v>
      </c>
      <c r="E405" s="5" t="s">
        <v>1984</v>
      </c>
      <c r="F405" s="5" t="s">
        <v>1022</v>
      </c>
      <c r="G405" s="5" t="s">
        <v>832</v>
      </c>
      <c r="H405" s="5" t="s">
        <v>801</v>
      </c>
    </row>
    <row r="406" customFormat="false" ht="23.85" hidden="false" customHeight="false" outlineLevel="0" collapsed="false">
      <c r="A406" s="5" t="s">
        <v>737</v>
      </c>
      <c r="B406" s="5" t="s">
        <v>1107</v>
      </c>
      <c r="C406" s="5" t="s">
        <v>46</v>
      </c>
      <c r="D406" s="5" t="s">
        <v>1985</v>
      </c>
      <c r="E406" s="5" t="s">
        <v>1986</v>
      </c>
      <c r="F406" s="5" t="s">
        <v>1987</v>
      </c>
      <c r="G406" s="5" t="s">
        <v>828</v>
      </c>
      <c r="H406" s="5" t="s">
        <v>801</v>
      </c>
    </row>
    <row r="407" customFormat="false" ht="15" hidden="false" customHeight="false" outlineLevel="0" collapsed="false">
      <c r="A407" s="5" t="s">
        <v>737</v>
      </c>
      <c r="B407" s="5" t="s">
        <v>1988</v>
      </c>
      <c r="C407" s="5" t="s">
        <v>80</v>
      </c>
      <c r="D407" s="5" t="s">
        <v>1989</v>
      </c>
      <c r="E407" s="5" t="s">
        <v>1990</v>
      </c>
      <c r="F407" s="5" t="s">
        <v>1022</v>
      </c>
      <c r="G407" s="5" t="s">
        <v>828</v>
      </c>
      <c r="H407" s="5" t="s">
        <v>801</v>
      </c>
    </row>
    <row r="408" customFormat="false" ht="15" hidden="false" customHeight="false" outlineLevel="0" collapsed="false">
      <c r="A408" s="5" t="s">
        <v>740</v>
      </c>
      <c r="B408" s="5" t="s">
        <v>1991</v>
      </c>
      <c r="C408" s="5" t="s">
        <v>27</v>
      </c>
      <c r="D408" s="5" t="s">
        <v>1992</v>
      </c>
      <c r="E408" s="5" t="s">
        <v>1993</v>
      </c>
      <c r="F408" s="5" t="s">
        <v>1994</v>
      </c>
      <c r="G408" s="5" t="s">
        <v>832</v>
      </c>
      <c r="H408" s="5" t="s">
        <v>801</v>
      </c>
    </row>
    <row r="409" customFormat="false" ht="15" hidden="false" customHeight="false" outlineLevel="0" collapsed="false">
      <c r="A409" s="5" t="s">
        <v>740</v>
      </c>
      <c r="B409" s="5" t="s">
        <v>1995</v>
      </c>
      <c r="C409" s="5" t="s">
        <v>54</v>
      </c>
      <c r="D409" s="5" t="s">
        <v>1996</v>
      </c>
      <c r="E409" s="5" t="s">
        <v>1997</v>
      </c>
      <c r="F409" s="5" t="s">
        <v>1022</v>
      </c>
      <c r="G409" s="5" t="s">
        <v>832</v>
      </c>
      <c r="H409" s="5" t="s">
        <v>801</v>
      </c>
    </row>
    <row r="410" customFormat="false" ht="23.85" hidden="false" customHeight="false" outlineLevel="0" collapsed="false">
      <c r="A410" s="5" t="s">
        <v>742</v>
      </c>
      <c r="B410" s="5" t="s">
        <v>1998</v>
      </c>
      <c r="C410" s="5" t="s">
        <v>67</v>
      </c>
      <c r="D410" s="5" t="s">
        <v>1999</v>
      </c>
      <c r="E410" s="5" t="s">
        <v>2000</v>
      </c>
      <c r="F410" s="5" t="s">
        <v>1616</v>
      </c>
      <c r="G410" s="5" t="s">
        <v>800</v>
      </c>
      <c r="H410" s="5" t="s">
        <v>801</v>
      </c>
    </row>
    <row r="411" customFormat="false" ht="15" hidden="false" customHeight="false" outlineLevel="0" collapsed="false">
      <c r="A411" s="5" t="s">
        <v>742</v>
      </c>
      <c r="B411" s="5" t="s">
        <v>2001</v>
      </c>
      <c r="C411" s="5" t="s">
        <v>43</v>
      </c>
      <c r="D411" s="5" t="s">
        <v>2002</v>
      </c>
      <c r="E411" s="5" t="s">
        <v>2003</v>
      </c>
      <c r="F411" s="5" t="s">
        <v>1022</v>
      </c>
      <c r="G411" s="5" t="s">
        <v>800</v>
      </c>
      <c r="H411" s="5" t="s">
        <v>801</v>
      </c>
    </row>
    <row r="412" customFormat="false" ht="23.85" hidden="false" customHeight="false" outlineLevel="0" collapsed="false">
      <c r="A412" s="5" t="s">
        <v>744</v>
      </c>
      <c r="B412" s="5" t="s">
        <v>2004</v>
      </c>
      <c r="C412" s="5" t="s">
        <v>27</v>
      </c>
      <c r="D412" s="5" t="s">
        <v>2005</v>
      </c>
      <c r="E412" s="5" t="s">
        <v>2006</v>
      </c>
      <c r="F412" s="5" t="s">
        <v>2007</v>
      </c>
      <c r="G412" s="5" t="s">
        <v>800</v>
      </c>
      <c r="H412" s="5" t="s">
        <v>801</v>
      </c>
    </row>
    <row r="413" customFormat="false" ht="23.85" hidden="false" customHeight="false" outlineLevel="0" collapsed="false">
      <c r="A413" s="5" t="s">
        <v>744</v>
      </c>
      <c r="B413" s="5" t="s">
        <v>2008</v>
      </c>
      <c r="C413" s="5" t="s">
        <v>49</v>
      </c>
      <c r="D413" s="5" t="s">
        <v>2005</v>
      </c>
      <c r="E413" s="5" t="s">
        <v>2006</v>
      </c>
      <c r="F413" s="5" t="s">
        <v>1022</v>
      </c>
      <c r="G413" s="5" t="s">
        <v>800</v>
      </c>
      <c r="H413" s="5" t="s">
        <v>801</v>
      </c>
    </row>
    <row r="414" customFormat="false" ht="15" hidden="false" customHeight="false" outlineLevel="0" collapsed="false">
      <c r="A414" s="5" t="s">
        <v>746</v>
      </c>
      <c r="B414" s="5" t="s">
        <v>2009</v>
      </c>
      <c r="C414" s="5" t="s">
        <v>27</v>
      </c>
      <c r="D414" s="5" t="s">
        <v>2010</v>
      </c>
      <c r="E414" s="5" t="s">
        <v>2011</v>
      </c>
      <c r="F414" s="5" t="s">
        <v>2012</v>
      </c>
      <c r="G414" s="5" t="s">
        <v>828</v>
      </c>
      <c r="H414" s="5" t="s">
        <v>801</v>
      </c>
    </row>
    <row r="415" customFormat="false" ht="23.85" hidden="false" customHeight="false" outlineLevel="0" collapsed="false">
      <c r="A415" s="5" t="s">
        <v>746</v>
      </c>
      <c r="B415" s="5" t="s">
        <v>2013</v>
      </c>
      <c r="C415" s="5" t="s">
        <v>54</v>
      </c>
      <c r="D415" s="5" t="s">
        <v>2010</v>
      </c>
      <c r="E415" s="5" t="s">
        <v>2011</v>
      </c>
      <c r="F415" s="5" t="s">
        <v>1022</v>
      </c>
      <c r="G415" s="5" t="s">
        <v>828</v>
      </c>
      <c r="H415" s="5" t="s">
        <v>801</v>
      </c>
    </row>
    <row r="416" customFormat="false" ht="15" hidden="false" customHeight="false" outlineLevel="0" collapsed="false">
      <c r="A416" s="5" t="s">
        <v>748</v>
      </c>
      <c r="B416" s="5" t="s">
        <v>2014</v>
      </c>
      <c r="C416" s="5" t="s">
        <v>32</v>
      </c>
      <c r="D416" s="5" t="s">
        <v>2015</v>
      </c>
      <c r="E416" s="5" t="s">
        <v>2016</v>
      </c>
      <c r="F416" s="5" t="s">
        <v>2017</v>
      </c>
      <c r="G416" s="5" t="s">
        <v>832</v>
      </c>
      <c r="H416" s="5" t="s">
        <v>801</v>
      </c>
    </row>
    <row r="417" customFormat="false" ht="15" hidden="false" customHeight="false" outlineLevel="0" collapsed="false">
      <c r="A417" s="5" t="s">
        <v>748</v>
      </c>
      <c r="B417" s="5" t="s">
        <v>2018</v>
      </c>
      <c r="C417" s="5" t="s">
        <v>49</v>
      </c>
      <c r="D417" s="5" t="s">
        <v>2015</v>
      </c>
      <c r="E417" s="5" t="s">
        <v>2016</v>
      </c>
      <c r="F417" s="5" t="s">
        <v>1022</v>
      </c>
      <c r="G417" s="5" t="s">
        <v>832</v>
      </c>
      <c r="H417" s="5" t="s">
        <v>801</v>
      </c>
    </row>
    <row r="418" customFormat="false" ht="23.85" hidden="false" customHeight="false" outlineLevel="0" collapsed="false">
      <c r="A418" s="5" t="s">
        <v>750</v>
      </c>
      <c r="B418" s="5" t="s">
        <v>2019</v>
      </c>
      <c r="C418" s="5" t="s">
        <v>46</v>
      </c>
      <c r="D418" s="5" t="s">
        <v>2020</v>
      </c>
      <c r="E418" s="5" t="s">
        <v>2021</v>
      </c>
      <c r="F418" s="5" t="s">
        <v>1014</v>
      </c>
      <c r="G418" s="5" t="s">
        <v>832</v>
      </c>
      <c r="H418" s="5" t="s">
        <v>801</v>
      </c>
    </row>
    <row r="419" customFormat="false" ht="23.85" hidden="false" customHeight="false" outlineLevel="0" collapsed="false">
      <c r="A419" s="5" t="s">
        <v>750</v>
      </c>
      <c r="B419" s="5" t="s">
        <v>2022</v>
      </c>
      <c r="C419" s="5" t="s">
        <v>80</v>
      </c>
      <c r="D419" s="5" t="s">
        <v>2020</v>
      </c>
      <c r="E419" s="5" t="s">
        <v>2021</v>
      </c>
      <c r="F419" s="5" t="s">
        <v>1022</v>
      </c>
      <c r="G419" s="5" t="s">
        <v>832</v>
      </c>
      <c r="H419" s="5" t="s">
        <v>801</v>
      </c>
    </row>
    <row r="420" customFormat="false" ht="15" hidden="false" customHeight="false" outlineLevel="0" collapsed="false">
      <c r="A420" s="5" t="s">
        <v>752</v>
      </c>
      <c r="B420" s="5" t="s">
        <v>2023</v>
      </c>
      <c r="C420" s="5" t="s">
        <v>27</v>
      </c>
      <c r="D420" s="5" t="s">
        <v>2024</v>
      </c>
      <c r="E420" s="5" t="s">
        <v>2025</v>
      </c>
      <c r="F420" s="5" t="s">
        <v>809</v>
      </c>
      <c r="G420" s="5" t="s">
        <v>810</v>
      </c>
      <c r="H420" s="5" t="s">
        <v>801</v>
      </c>
    </row>
    <row r="421" customFormat="false" ht="15" hidden="false" customHeight="false" outlineLevel="0" collapsed="false">
      <c r="A421" s="5" t="s">
        <v>752</v>
      </c>
      <c r="B421" s="5" t="s">
        <v>2026</v>
      </c>
      <c r="C421" s="5" t="s">
        <v>67</v>
      </c>
      <c r="D421" s="5" t="s">
        <v>2024</v>
      </c>
      <c r="E421" s="5" t="s">
        <v>2025</v>
      </c>
      <c r="F421" s="5" t="s">
        <v>1022</v>
      </c>
      <c r="G421" s="5" t="s">
        <v>810</v>
      </c>
      <c r="H421" s="5" t="s">
        <v>801</v>
      </c>
    </row>
    <row r="422" customFormat="false" ht="15" hidden="false" customHeight="false" outlineLevel="0" collapsed="false">
      <c r="A422" s="5" t="s">
        <v>755</v>
      </c>
      <c r="B422" s="5" t="s">
        <v>2027</v>
      </c>
      <c r="C422" s="5" t="s">
        <v>49</v>
      </c>
      <c r="D422" s="5" t="s">
        <v>2028</v>
      </c>
      <c r="E422" s="5" t="s">
        <v>2029</v>
      </c>
      <c r="F422" s="5" t="s">
        <v>2030</v>
      </c>
      <c r="G422" s="5" t="s">
        <v>828</v>
      </c>
      <c r="H422" s="5" t="s">
        <v>801</v>
      </c>
    </row>
    <row r="423" customFormat="false" ht="15" hidden="false" customHeight="false" outlineLevel="0" collapsed="false">
      <c r="A423" s="5" t="s">
        <v>755</v>
      </c>
      <c r="B423" s="5" t="s">
        <v>2031</v>
      </c>
      <c r="C423" s="5" t="s">
        <v>35</v>
      </c>
      <c r="D423" s="5" t="s">
        <v>2028</v>
      </c>
      <c r="E423" s="5" t="s">
        <v>2029</v>
      </c>
      <c r="F423" s="5" t="s">
        <v>1022</v>
      </c>
      <c r="G423" s="5" t="s">
        <v>828</v>
      </c>
      <c r="H423" s="5" t="s">
        <v>801</v>
      </c>
    </row>
    <row r="424" customFormat="false" ht="15" hidden="false" customHeight="false" outlineLevel="0" collapsed="false">
      <c r="A424" s="5" t="s">
        <v>758</v>
      </c>
      <c r="B424" s="5" t="s">
        <v>1530</v>
      </c>
      <c r="C424" s="5" t="s">
        <v>67</v>
      </c>
      <c r="D424" s="5" t="s">
        <v>2032</v>
      </c>
      <c r="E424" s="5" t="s">
        <v>2033</v>
      </c>
      <c r="F424" s="5" t="s">
        <v>809</v>
      </c>
      <c r="G424" s="5" t="s">
        <v>852</v>
      </c>
      <c r="H424" s="5" t="s">
        <v>801</v>
      </c>
    </row>
    <row r="425" customFormat="false" ht="23.85" hidden="false" customHeight="false" outlineLevel="0" collapsed="false">
      <c r="A425" s="5" t="s">
        <v>758</v>
      </c>
      <c r="B425" s="5" t="s">
        <v>2034</v>
      </c>
      <c r="C425" s="5" t="s">
        <v>43</v>
      </c>
      <c r="D425" s="5" t="s">
        <v>2032</v>
      </c>
      <c r="E425" s="5" t="s">
        <v>2033</v>
      </c>
      <c r="F425" s="5" t="s">
        <v>1022</v>
      </c>
      <c r="G425" s="5" t="s">
        <v>852</v>
      </c>
      <c r="H425" s="5" t="s">
        <v>801</v>
      </c>
    </row>
    <row r="426" customFormat="false" ht="15" hidden="false" customHeight="false" outlineLevel="0" collapsed="false">
      <c r="A426" s="5" t="s">
        <v>760</v>
      </c>
      <c r="B426" s="5" t="s">
        <v>2035</v>
      </c>
      <c r="C426" s="5" t="s">
        <v>32</v>
      </c>
      <c r="D426" s="5"/>
      <c r="E426" s="5" t="s">
        <v>809</v>
      </c>
      <c r="F426" s="5" t="s">
        <v>799</v>
      </c>
      <c r="G426" s="5" t="s">
        <v>809</v>
      </c>
      <c r="H426" s="5" t="s">
        <v>801</v>
      </c>
    </row>
    <row r="427" customFormat="false" ht="15" hidden="false" customHeight="false" outlineLevel="0" collapsed="false">
      <c r="A427" s="5" t="s">
        <v>762</v>
      </c>
      <c r="B427" s="5" t="s">
        <v>1551</v>
      </c>
      <c r="C427" s="5" t="s">
        <v>80</v>
      </c>
      <c r="D427" s="5"/>
      <c r="E427" s="5" t="s">
        <v>809</v>
      </c>
      <c r="F427" s="5" t="s">
        <v>809</v>
      </c>
      <c r="G427" s="5" t="s">
        <v>809</v>
      </c>
      <c r="H427" s="5" t="s">
        <v>801</v>
      </c>
    </row>
    <row r="428" customFormat="false" ht="15" hidden="false" customHeight="false" outlineLevel="0" collapsed="false">
      <c r="A428" s="5" t="s">
        <v>764</v>
      </c>
      <c r="B428" s="5" t="s">
        <v>2036</v>
      </c>
      <c r="C428" s="5" t="s">
        <v>43</v>
      </c>
      <c r="D428" s="5"/>
      <c r="E428" s="5" t="s">
        <v>809</v>
      </c>
      <c r="F428" s="5" t="s">
        <v>809</v>
      </c>
      <c r="G428" s="5" t="s">
        <v>809</v>
      </c>
      <c r="H428" s="5" t="s">
        <v>801</v>
      </c>
    </row>
    <row r="429" customFormat="false" ht="15" hidden="false" customHeight="false" outlineLevel="0" collapsed="false">
      <c r="A429" s="5" t="s">
        <v>766</v>
      </c>
      <c r="B429" s="5" t="s">
        <v>1624</v>
      </c>
      <c r="C429" s="5" t="s">
        <v>46</v>
      </c>
      <c r="D429" s="5"/>
      <c r="E429" s="5" t="s">
        <v>809</v>
      </c>
      <c r="F429" s="5" t="s">
        <v>809</v>
      </c>
      <c r="G429" s="5" t="s">
        <v>809</v>
      </c>
      <c r="H429" s="5" t="s">
        <v>801</v>
      </c>
    </row>
    <row r="430" customFormat="false" ht="15" hidden="false" customHeight="false" outlineLevel="0" collapsed="false">
      <c r="A430" s="5" t="s">
        <v>768</v>
      </c>
      <c r="B430" s="5" t="s">
        <v>2037</v>
      </c>
      <c r="C430" s="5" t="s">
        <v>67</v>
      </c>
      <c r="D430" s="5"/>
      <c r="E430" s="5" t="s">
        <v>809</v>
      </c>
      <c r="F430" s="5" t="s">
        <v>809</v>
      </c>
      <c r="G430" s="5" t="s">
        <v>809</v>
      </c>
      <c r="H430" s="5" t="s">
        <v>801</v>
      </c>
    </row>
    <row r="431" customFormat="false" ht="15" hidden="false" customHeight="false" outlineLevel="0" collapsed="false">
      <c r="A431" s="5" t="s">
        <v>770</v>
      </c>
      <c r="B431" s="5" t="s">
        <v>2038</v>
      </c>
      <c r="C431" s="5" t="s">
        <v>38</v>
      </c>
      <c r="D431" s="5"/>
      <c r="E431" s="5" t="s">
        <v>809</v>
      </c>
      <c r="F431" s="5" t="s">
        <v>823</v>
      </c>
      <c r="G431" s="5" t="s">
        <v>809</v>
      </c>
      <c r="H431" s="5" t="s">
        <v>801</v>
      </c>
    </row>
    <row r="432" customFormat="false" ht="15" hidden="false" customHeight="false" outlineLevel="0" collapsed="false">
      <c r="A432" s="5" t="s">
        <v>772</v>
      </c>
      <c r="B432" s="5" t="s">
        <v>2039</v>
      </c>
      <c r="C432" s="5" t="s">
        <v>54</v>
      </c>
      <c r="D432" s="5"/>
      <c r="E432" s="5" t="s">
        <v>809</v>
      </c>
      <c r="F432" s="5" t="s">
        <v>809</v>
      </c>
      <c r="G432" s="5" t="s">
        <v>809</v>
      </c>
      <c r="H432" s="5" t="s">
        <v>801</v>
      </c>
    </row>
    <row r="433" customFormat="false" ht="15" hidden="false" customHeight="false" outlineLevel="0" collapsed="false">
      <c r="A433" s="5" t="s">
        <v>774</v>
      </c>
      <c r="B433" s="5"/>
      <c r="C433" s="5" t="s">
        <v>252</v>
      </c>
      <c r="D433" s="5"/>
      <c r="E433" s="5" t="s">
        <v>809</v>
      </c>
      <c r="F433" s="5" t="s">
        <v>2040</v>
      </c>
      <c r="G433" s="5" t="s">
        <v>809</v>
      </c>
      <c r="H433" s="5" t="s">
        <v>801</v>
      </c>
    </row>
    <row r="434" customFormat="false" ht="15" hidden="false" customHeight="false" outlineLevel="0" collapsed="false">
      <c r="A434" s="5" t="s">
        <v>776</v>
      </c>
      <c r="B434" s="5"/>
      <c r="C434" s="5" t="s">
        <v>252</v>
      </c>
      <c r="D434" s="5"/>
      <c r="E434" s="5" t="s">
        <v>809</v>
      </c>
      <c r="F434" s="5" t="s">
        <v>2041</v>
      </c>
      <c r="G434" s="5" t="s">
        <v>809</v>
      </c>
      <c r="H434" s="5" t="s">
        <v>801</v>
      </c>
    </row>
    <row r="435" customFormat="false" ht="15" hidden="false" customHeight="false" outlineLevel="0" collapsed="false">
      <c r="A435" s="5" t="s">
        <v>778</v>
      </c>
      <c r="B435" s="5"/>
      <c r="C435" s="5" t="s">
        <v>252</v>
      </c>
      <c r="D435" s="5"/>
      <c r="E435" s="5" t="s">
        <v>809</v>
      </c>
      <c r="F435" s="5" t="s">
        <v>2042</v>
      </c>
      <c r="G435" s="5" t="s">
        <v>809</v>
      </c>
      <c r="H435" s="5" t="s">
        <v>801</v>
      </c>
    </row>
    <row r="436" customFormat="false" ht="15" hidden="false" customHeight="false" outlineLevel="0" collapsed="false">
      <c r="A436" s="5" t="s">
        <v>780</v>
      </c>
      <c r="B436" s="5"/>
      <c r="C436" s="5" t="s">
        <v>252</v>
      </c>
      <c r="D436" s="5"/>
      <c r="E436" s="5" t="s">
        <v>809</v>
      </c>
      <c r="F436" s="5" t="s">
        <v>809</v>
      </c>
      <c r="G436" s="5" t="s">
        <v>809</v>
      </c>
      <c r="H436" s="5" t="s">
        <v>801</v>
      </c>
    </row>
    <row r="437" customFormat="false" ht="15" hidden="false" customHeight="false" outlineLevel="0" collapsed="false">
      <c r="A437" s="5" t="s">
        <v>782</v>
      </c>
      <c r="B437" s="5"/>
      <c r="C437" s="5" t="s">
        <v>252</v>
      </c>
      <c r="D437" s="5"/>
      <c r="E437" s="5" t="s">
        <v>809</v>
      </c>
      <c r="F437" s="5" t="s">
        <v>2043</v>
      </c>
      <c r="G437" s="5" t="s">
        <v>809</v>
      </c>
      <c r="H437" s="5" t="s">
        <v>801</v>
      </c>
    </row>
    <row r="438" customFormat="false" ht="15" hidden="false" customHeight="false" outlineLevel="0" collapsed="false">
      <c r="A438" s="5" t="s">
        <v>784</v>
      </c>
      <c r="B438" s="5"/>
      <c r="C438" s="5" t="s">
        <v>252</v>
      </c>
      <c r="D438" s="5"/>
      <c r="E438" s="5" t="s">
        <v>809</v>
      </c>
      <c r="F438" s="5" t="s">
        <v>809</v>
      </c>
      <c r="G438" s="5" t="s">
        <v>809</v>
      </c>
      <c r="H438" s="5" t="s">
        <v>801</v>
      </c>
    </row>
    <row r="439" customFormat="false" ht="23.85" hidden="false" customHeight="false" outlineLevel="0" collapsed="false">
      <c r="A439" s="5" t="s">
        <v>786</v>
      </c>
      <c r="B439" s="5"/>
      <c r="C439" s="5" t="s">
        <v>252</v>
      </c>
      <c r="D439" s="5"/>
      <c r="E439" s="5" t="s">
        <v>809</v>
      </c>
      <c r="F439" s="5" t="s">
        <v>2044</v>
      </c>
      <c r="G439" s="5" t="s">
        <v>809</v>
      </c>
      <c r="H439" s="5" t="s">
        <v>801</v>
      </c>
    </row>
  </sheetData>
  <autoFilter ref="A1:H439"/>
  <dataValidations count="2">
    <dataValidation allowBlank="true" errorStyle="stop" operator="between" showDropDown="false" showErrorMessage="false" showInputMessage="false" sqref="C2:C1000" type="list">
      <formula1>"joy,contentment,pride,gratitude,sadness,anger,fear,stress,guilt,surprise,neutral"</formula1>
      <formula2>0</formula2>
    </dataValidation>
    <dataValidation allowBlank="true" errorStyle="stop" operator="between" showDropDown="false" showErrorMessage="false" showInputMessage="false" sqref="G2:G1000" type="list">
      <formula1>"studies_work,health,family,friends,relationships,self,money,other,none"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6"/>
    <col collapsed="false" customWidth="true" hidden="false" outlineLevel="0" max="4" min="4" style="0" width="22"/>
  </cols>
  <sheetData>
    <row r="1" customFormat="false" ht="17.35" hidden="false" customHeight="false" outlineLevel="0" collapsed="false">
      <c r="A1" s="6" t="s">
        <v>2045</v>
      </c>
    </row>
    <row r="2" customFormat="false" ht="15" hidden="false" customHeight="false" outlineLevel="0" collapsed="false">
      <c r="A2" s="7" t="s">
        <v>2046</v>
      </c>
    </row>
    <row r="4" customFormat="false" ht="15" hidden="false" customHeight="false" outlineLevel="0" collapsed="false">
      <c r="A4" s="8" t="s">
        <v>2047</v>
      </c>
      <c r="B4" s="8" t="s">
        <v>2048</v>
      </c>
      <c r="C4" s="8" t="s">
        <v>2049</v>
      </c>
      <c r="D4" s="8" t="s">
        <v>2050</v>
      </c>
    </row>
    <row r="5" customFormat="false" ht="15" hidden="false" customHeight="false" outlineLevel="0" collapsed="false">
      <c r="A5" s="9" t="s">
        <v>28</v>
      </c>
      <c r="B5" s="10" t="n">
        <v>88</v>
      </c>
      <c r="C5" s="9" t="n">
        <f aca="false">COUNTIF(Entries!$F$2:$F$1000,A5)</f>
        <v>87</v>
      </c>
      <c r="D5" s="9" t="n">
        <f aca="false">C5-B5</f>
        <v>-1</v>
      </c>
    </row>
    <row r="6" customFormat="false" ht="15" hidden="false" customHeight="false" outlineLevel="0" collapsed="false">
      <c r="A6" s="9" t="s">
        <v>89</v>
      </c>
      <c r="B6" s="10" t="n">
        <v>35</v>
      </c>
      <c r="C6" s="9" t="n">
        <f aca="false">COUNTIF(Entries!$F$2:$F$1000,A6)</f>
        <v>35</v>
      </c>
      <c r="D6" s="9" t="n">
        <f aca="false">C6-B6</f>
        <v>0</v>
      </c>
    </row>
    <row r="7" customFormat="false" ht="15" hidden="false" customHeight="false" outlineLevel="0" collapsed="false">
      <c r="A7" s="9" t="s">
        <v>110</v>
      </c>
      <c r="B7" s="10" t="n">
        <v>52</v>
      </c>
      <c r="C7" s="9" t="n">
        <f aca="false">COUNTIF(Entries!$F$2:$F$1000,A7)</f>
        <v>53</v>
      </c>
      <c r="D7" s="9" t="n">
        <f aca="false">C7-B7</f>
        <v>1</v>
      </c>
    </row>
    <row r="8" customFormat="false" ht="15" hidden="false" customHeight="false" outlineLevel="0" collapsed="false">
      <c r="A8" s="9" t="s">
        <v>141</v>
      </c>
      <c r="B8" s="10" t="n">
        <v>52</v>
      </c>
      <c r="C8" s="9" t="n">
        <f aca="false">COUNTIF(Entries!$F$2:$F$1000,A8)</f>
        <v>52</v>
      </c>
      <c r="D8" s="9" t="n">
        <f aca="false">C8-B8</f>
        <v>0</v>
      </c>
    </row>
    <row r="9" customFormat="false" ht="15" hidden="false" customHeight="false" outlineLevel="0" collapsed="false">
      <c r="A9" s="9" t="s">
        <v>173</v>
      </c>
      <c r="B9" s="10" t="n">
        <v>70</v>
      </c>
      <c r="C9" s="9" t="n">
        <f aca="false">COUNTIF(Entries!$F$2:$F$1000,A9)</f>
        <v>70</v>
      </c>
      <c r="D9" s="9" t="n">
        <f aca="false">C9-B9</f>
        <v>0</v>
      </c>
    </row>
    <row r="10" customFormat="false" ht="15" hidden="false" customHeight="false" outlineLevel="0" collapsed="false">
      <c r="A10" s="9" t="s">
        <v>228</v>
      </c>
      <c r="B10" s="10" t="n">
        <v>18</v>
      </c>
      <c r="C10" s="9" t="n">
        <f aca="false">COUNTIF(Entries!$F$2:$F$1000,A10)</f>
        <v>18</v>
      </c>
      <c r="D10" s="9" t="n">
        <f aca="false">C10-B10</f>
        <v>0</v>
      </c>
    </row>
    <row r="11" customFormat="false" ht="15" hidden="false" customHeight="false" outlineLevel="0" collapsed="false">
      <c r="A11" s="9" t="s">
        <v>241</v>
      </c>
      <c r="B11" s="10" t="n">
        <v>18</v>
      </c>
      <c r="C11" s="9" t="n">
        <f aca="false">COUNTIF(Entries!$F$2:$F$1000,A11)</f>
        <v>17</v>
      </c>
      <c r="D11" s="9" t="n">
        <f aca="false">C11-B11</f>
        <v>-1</v>
      </c>
    </row>
    <row r="12" customFormat="false" ht="15" hidden="false" customHeight="false" outlineLevel="0" collapsed="false">
      <c r="A12" s="9" t="s">
        <v>253</v>
      </c>
      <c r="B12" s="10" t="n">
        <v>17</v>
      </c>
      <c r="C12" s="9" t="n">
        <f aca="false">COUNTIF(Entries!$F$2:$F$1000,A12)</f>
        <v>18</v>
      </c>
      <c r="D12" s="9" t="n">
        <f aca="false">C12-B12</f>
        <v>1</v>
      </c>
    </row>
    <row r="13" customFormat="false" ht="15" hidden="false" customHeight="false" outlineLevel="0" collapsed="false">
      <c r="A13" s="11" t="s">
        <v>2051</v>
      </c>
      <c r="B13" s="11" t="n">
        <f aca="false">SUM(B5:B12)</f>
        <v>350</v>
      </c>
      <c r="C13" s="11" t="n">
        <f aca="false">SUM(C5:C12)</f>
        <v>350</v>
      </c>
      <c r="D13" s="11" t="n">
        <f aca="false">C13-B13</f>
        <v>0</v>
      </c>
    </row>
    <row r="15" customFormat="false" ht="15" hidden="false" customHeight="false" outlineLevel="0" collapsed="false">
      <c r="A15" s="8" t="s">
        <v>2052</v>
      </c>
      <c r="B15" s="8" t="s">
        <v>2053</v>
      </c>
      <c r="C15" s="8" t="s">
        <v>2054</v>
      </c>
      <c r="D15" s="8"/>
    </row>
    <row r="16" customFormat="false" ht="15" hidden="false" customHeight="false" outlineLevel="0" collapsed="false">
      <c r="A16" s="9" t="s">
        <v>27</v>
      </c>
      <c r="B16" s="9" t="n">
        <f aca="false">COUNTIF(Pairs!$C$2:$C$1000,A16)</f>
        <v>55</v>
      </c>
      <c r="C16" s="12" t="n">
        <f aca="false">IF(SUM($B$16:$B$26)=0,0,B16/SUM($B$16:$B$26))</f>
        <v>0.125570776255708</v>
      </c>
    </row>
    <row r="17" customFormat="false" ht="15" hidden="false" customHeight="false" outlineLevel="0" collapsed="false">
      <c r="A17" s="9" t="s">
        <v>67</v>
      </c>
      <c r="B17" s="9" t="n">
        <f aca="false">COUNTIF(Pairs!$C$2:$C$1000,A17)</f>
        <v>46</v>
      </c>
      <c r="C17" s="12" t="n">
        <f aca="false">IF(SUM($B$16:$B$26)=0,0,B17/SUM($B$16:$B$26))</f>
        <v>0.105022831050228</v>
      </c>
    </row>
    <row r="18" customFormat="false" ht="15" hidden="false" customHeight="false" outlineLevel="0" collapsed="false">
      <c r="A18" s="9" t="s">
        <v>32</v>
      </c>
      <c r="B18" s="9" t="n">
        <f aca="false">COUNTIF(Pairs!$C$2:$C$1000,A18)</f>
        <v>39</v>
      </c>
      <c r="C18" s="12" t="n">
        <f aca="false">IF(SUM($B$16:$B$26)=0,0,B18/SUM($B$16:$B$26))</f>
        <v>0.089041095890411</v>
      </c>
    </row>
    <row r="19" customFormat="false" ht="15" hidden="false" customHeight="false" outlineLevel="0" collapsed="false">
      <c r="A19" s="9" t="s">
        <v>38</v>
      </c>
      <c r="B19" s="9" t="n">
        <f aca="false">COUNTIF(Pairs!$C$2:$C$1000,A19)</f>
        <v>30</v>
      </c>
      <c r="C19" s="12" t="n">
        <f aca="false">IF(SUM($B$16:$B$26)=0,0,B19/SUM($B$16:$B$26))</f>
        <v>0.0684931506849315</v>
      </c>
    </row>
    <row r="20" customFormat="false" ht="15" hidden="false" customHeight="false" outlineLevel="0" collapsed="false">
      <c r="A20" s="9" t="s">
        <v>49</v>
      </c>
      <c r="B20" s="9" t="n">
        <f aca="false">COUNTIF(Pairs!$C$2:$C$1000,A20)</f>
        <v>51</v>
      </c>
      <c r="C20" s="12" t="n">
        <f aca="false">IF(SUM($B$16:$B$26)=0,0,B20/SUM($B$16:$B$26))</f>
        <v>0.116438356164384</v>
      </c>
    </row>
    <row r="21" customFormat="false" ht="15" hidden="false" customHeight="false" outlineLevel="0" collapsed="false">
      <c r="A21" s="9" t="s">
        <v>35</v>
      </c>
      <c r="B21" s="9" t="n">
        <f aca="false">COUNTIF(Pairs!$C$2:$C$1000,A21)</f>
        <v>42</v>
      </c>
      <c r="C21" s="12" t="n">
        <f aca="false">IF(SUM($B$16:$B$26)=0,0,B21/SUM($B$16:$B$26))</f>
        <v>0.0958904109589041</v>
      </c>
    </row>
    <row r="22" customFormat="false" ht="15" hidden="false" customHeight="false" outlineLevel="0" collapsed="false">
      <c r="A22" s="9" t="s">
        <v>54</v>
      </c>
      <c r="B22" s="9" t="n">
        <f aca="false">COUNTIF(Pairs!$C$2:$C$1000,A22)</f>
        <v>52</v>
      </c>
      <c r="C22" s="12" t="n">
        <f aca="false">IF(SUM($B$16:$B$26)=0,0,B22/SUM($B$16:$B$26))</f>
        <v>0.118721461187215</v>
      </c>
    </row>
    <row r="23" customFormat="false" ht="15" hidden="false" customHeight="false" outlineLevel="0" collapsed="false">
      <c r="A23" s="9" t="s">
        <v>43</v>
      </c>
      <c r="B23" s="9" t="n">
        <f aca="false">COUNTIF(Pairs!$C$2:$C$1000,A23)</f>
        <v>41</v>
      </c>
      <c r="C23" s="12" t="n">
        <f aca="false">IF(SUM($B$16:$B$26)=0,0,B23/SUM($B$16:$B$26))</f>
        <v>0.0936073059360731</v>
      </c>
    </row>
    <row r="24" customFormat="false" ht="15" hidden="false" customHeight="false" outlineLevel="0" collapsed="false">
      <c r="A24" s="9" t="s">
        <v>80</v>
      </c>
      <c r="B24" s="9" t="n">
        <f aca="false">COUNTIF(Pairs!$C$2:$C$1000,A24)</f>
        <v>34</v>
      </c>
      <c r="C24" s="12" t="n">
        <f aca="false">IF(SUM($B$16:$B$26)=0,0,B24/SUM($B$16:$B$26))</f>
        <v>0.0776255707762557</v>
      </c>
    </row>
    <row r="25" customFormat="false" ht="15" hidden="false" customHeight="false" outlineLevel="0" collapsed="false">
      <c r="A25" s="9" t="s">
        <v>46</v>
      </c>
      <c r="B25" s="9" t="n">
        <f aca="false">COUNTIF(Pairs!$C$2:$C$1000,A25)</f>
        <v>30</v>
      </c>
      <c r="C25" s="12" t="n">
        <f aca="false">IF(SUM($B$16:$B$26)=0,0,B25/SUM($B$16:$B$26))</f>
        <v>0.0684931506849315</v>
      </c>
    </row>
    <row r="26" customFormat="false" ht="15" hidden="false" customHeight="false" outlineLevel="0" collapsed="false">
      <c r="A26" s="9" t="s">
        <v>252</v>
      </c>
      <c r="B26" s="9" t="n">
        <f aca="false">COUNTIF(Pairs!$C$2:$C$1000,A26)</f>
        <v>18</v>
      </c>
      <c r="C26" s="12" t="n">
        <f aca="false">IF(SUM($B$16:$B$26)=0,0,B26/SUM($B$16:$B$26))</f>
        <v>0.0410958904109589</v>
      </c>
    </row>
    <row r="27" customFormat="false" ht="15" hidden="false" customHeight="false" outlineLevel="0" collapsed="false">
      <c r="A27" s="11" t="s">
        <v>2055</v>
      </c>
      <c r="B27" s="11" t="n">
        <f aca="false">SUM(B16:B26)</f>
        <v>438</v>
      </c>
    </row>
    <row r="29" customFormat="false" ht="15" hidden="false" customHeight="false" outlineLevel="0" collapsed="false">
      <c r="A29" s="8" t="s">
        <v>2056</v>
      </c>
      <c r="B29" s="8" t="s">
        <v>2053</v>
      </c>
      <c r="C29" s="8" t="s">
        <v>2054</v>
      </c>
      <c r="D29" s="8"/>
    </row>
    <row r="30" customFormat="false" ht="15" hidden="false" customHeight="false" outlineLevel="0" collapsed="false">
      <c r="A30" s="9" t="s">
        <v>800</v>
      </c>
      <c r="B30" s="9" t="n">
        <f aca="false">COUNTIF(Pairs!$G$2:$G$1000,A30)</f>
        <v>77</v>
      </c>
      <c r="C30" s="12" t="n">
        <f aca="false">IF(SUM($B$30:$B$38)=0,0,B30/SUM($B$30:$B$38))</f>
        <v>0.175799086757991</v>
      </c>
    </row>
    <row r="31" customFormat="false" ht="15" hidden="false" customHeight="false" outlineLevel="0" collapsed="false">
      <c r="A31" s="9" t="s">
        <v>852</v>
      </c>
      <c r="B31" s="9" t="n">
        <f aca="false">COUNTIF(Pairs!$G$2:$G$1000,A31)</f>
        <v>46</v>
      </c>
      <c r="C31" s="12" t="n">
        <f aca="false">IF(SUM($B$30:$B$38)=0,0,B31/SUM($B$30:$B$38))</f>
        <v>0.105022831050228</v>
      </c>
    </row>
    <row r="32" customFormat="false" ht="15" hidden="false" customHeight="false" outlineLevel="0" collapsed="false">
      <c r="A32" s="9" t="s">
        <v>815</v>
      </c>
      <c r="B32" s="9" t="n">
        <f aca="false">COUNTIF(Pairs!$G$2:$G$1000,A32)</f>
        <v>34</v>
      </c>
      <c r="C32" s="12" t="n">
        <f aca="false">IF(SUM($B$30:$B$38)=0,0,B32/SUM($B$30:$B$38))</f>
        <v>0.0776255707762557</v>
      </c>
    </row>
    <row r="33" customFormat="false" ht="15" hidden="false" customHeight="false" outlineLevel="0" collapsed="false">
      <c r="A33" s="9" t="s">
        <v>828</v>
      </c>
      <c r="B33" s="9" t="n">
        <f aca="false">COUNTIF(Pairs!$G$2:$G$1000,A33)</f>
        <v>55</v>
      </c>
      <c r="C33" s="12" t="n">
        <f aca="false">IF(SUM($B$30:$B$38)=0,0,B33/SUM($B$30:$B$38))</f>
        <v>0.125570776255708</v>
      </c>
    </row>
    <row r="34" customFormat="false" ht="15" hidden="false" customHeight="false" outlineLevel="0" collapsed="false">
      <c r="A34" s="9" t="s">
        <v>862</v>
      </c>
      <c r="B34" s="9" t="n">
        <f aca="false">COUNTIF(Pairs!$G$2:$G$1000,A34)</f>
        <v>29</v>
      </c>
      <c r="C34" s="12" t="n">
        <f aca="false">IF(SUM($B$30:$B$38)=0,0,B34/SUM($B$30:$B$38))</f>
        <v>0.0662100456621005</v>
      </c>
    </row>
    <row r="35" customFormat="false" ht="15" hidden="false" customHeight="false" outlineLevel="0" collapsed="false">
      <c r="A35" s="9" t="s">
        <v>832</v>
      </c>
      <c r="B35" s="9" t="n">
        <f aca="false">COUNTIF(Pairs!$G$2:$G$1000,A35)</f>
        <v>34</v>
      </c>
      <c r="C35" s="12" t="n">
        <f aca="false">IF(SUM($B$30:$B$38)=0,0,B35/SUM($B$30:$B$38))</f>
        <v>0.0776255707762557</v>
      </c>
    </row>
    <row r="36" customFormat="false" ht="15" hidden="false" customHeight="false" outlineLevel="0" collapsed="false">
      <c r="A36" s="9" t="s">
        <v>857</v>
      </c>
      <c r="B36" s="9" t="n">
        <f aca="false">COUNTIF(Pairs!$G$2:$G$1000,A36)</f>
        <v>36</v>
      </c>
      <c r="C36" s="12" t="n">
        <f aca="false">IF(SUM($B$30:$B$38)=0,0,B36/SUM($B$30:$B$38))</f>
        <v>0.0821917808219178</v>
      </c>
    </row>
    <row r="37" customFormat="false" ht="15" hidden="false" customHeight="false" outlineLevel="0" collapsed="false">
      <c r="A37" s="9" t="s">
        <v>810</v>
      </c>
      <c r="B37" s="9" t="n">
        <f aca="false">COUNTIF(Pairs!$G$2:$G$1000,A37)</f>
        <v>40</v>
      </c>
      <c r="C37" s="12" t="n">
        <f aca="false">IF(SUM($B$30:$B$38)=0,0,B37/SUM($B$30:$B$38))</f>
        <v>0.091324200913242</v>
      </c>
    </row>
    <row r="38" customFormat="false" ht="15" hidden="false" customHeight="false" outlineLevel="0" collapsed="false">
      <c r="A38" s="9" t="s">
        <v>809</v>
      </c>
      <c r="B38" s="9" t="n">
        <f aca="false">COUNTIF(Pairs!$G$2:$G$1000,A38)</f>
        <v>87</v>
      </c>
      <c r="C38" s="12" t="n">
        <f aca="false">IF(SUM($B$30:$B$38)=0,0,B38/SUM($B$30:$B$38))</f>
        <v>0.198630136986301</v>
      </c>
    </row>
    <row r="40" customFormat="false" ht="15" hidden="false" customHeight="false" outlineLevel="0" collapsed="false">
      <c r="A40" s="8" t="s">
        <v>2057</v>
      </c>
      <c r="B40" s="8" t="s">
        <v>2048</v>
      </c>
      <c r="C40" s="8" t="s">
        <v>2049</v>
      </c>
      <c r="D40" s="8" t="s">
        <v>2050</v>
      </c>
    </row>
    <row r="41" customFormat="false" ht="15" hidden="false" customHeight="false" outlineLevel="0" collapsed="false">
      <c r="A41" s="9" t="s">
        <v>2058</v>
      </c>
      <c r="B41" s="10" t="n">
        <v>70</v>
      </c>
      <c r="C41" s="9" t="n">
        <f aca="false">COUNTIF(Entries!$H$2:$H$1000,A41)</f>
        <v>148</v>
      </c>
      <c r="D41" s="9" t="n">
        <f aca="false">C41-B41</f>
        <v>78</v>
      </c>
    </row>
    <row r="42" customFormat="false" ht="15" hidden="false" customHeight="false" outlineLevel="0" collapsed="false">
      <c r="A42" s="9" t="s">
        <v>2059</v>
      </c>
      <c r="B42" s="10" t="n">
        <v>175</v>
      </c>
      <c r="C42" s="9" t="n">
        <f aca="false">COUNTIF(Entries!$H$2:$H$1000,A42)</f>
        <v>165</v>
      </c>
      <c r="D42" s="9" t="n">
        <f aca="false">C42-B42</f>
        <v>-10</v>
      </c>
    </row>
    <row r="43" customFormat="false" ht="15" hidden="false" customHeight="false" outlineLevel="0" collapsed="false">
      <c r="A43" s="9" t="s">
        <v>2060</v>
      </c>
      <c r="B43" s="10" t="n">
        <v>88</v>
      </c>
      <c r="C43" s="9" t="n">
        <f aca="false">COUNTIF(Entries!$H$2:$H$1000,A43)</f>
        <v>34</v>
      </c>
      <c r="D43" s="9" t="n">
        <f aca="false">C43-B43</f>
        <v>-54</v>
      </c>
    </row>
    <row r="44" customFormat="false" ht="15" hidden="false" customHeight="false" outlineLevel="0" collapsed="false">
      <c r="A44" s="9" t="s">
        <v>2061</v>
      </c>
      <c r="B44" s="10" t="n">
        <v>17</v>
      </c>
      <c r="C44" s="9" t="n">
        <f aca="false">COUNTIF(Entries!$H$2:$H$1000,A44)</f>
        <v>3</v>
      </c>
      <c r="D44" s="9" t="n">
        <f aca="false">C44-B44</f>
        <v>-14</v>
      </c>
    </row>
    <row r="45" customFormat="false" ht="15" hidden="false" customHeight="false" outlineLevel="0" collapsed="false">
      <c r="A45" s="9" t="s">
        <v>2062</v>
      </c>
    </row>
    <row r="47" customFormat="false" ht="15" hidden="false" customHeight="false" outlineLevel="0" collapsed="false">
      <c r="A47" s="8" t="s">
        <v>2063</v>
      </c>
      <c r="B47" s="8" t="s">
        <v>2048</v>
      </c>
      <c r="C47" s="8" t="s">
        <v>2049</v>
      </c>
      <c r="D47" s="8" t="s">
        <v>2050</v>
      </c>
    </row>
    <row r="48" customFormat="false" ht="15" hidden="false" customHeight="false" outlineLevel="0" collapsed="false">
      <c r="A48" s="9" t="s">
        <v>2064</v>
      </c>
      <c r="B48" s="10" t="n">
        <v>245</v>
      </c>
      <c r="C48" s="9" t="n">
        <f aca="false">COUNTA(Pairs!$F$2:$F$1000)-COUNTIF(Pairs!$F$2:$F$1000,"same")-COUNTIF(Pairs!$F$2:$F$1000,"none")</f>
        <v>227</v>
      </c>
      <c r="D48" s="9" t="n">
        <f aca="false">C48-B48</f>
        <v>-18</v>
      </c>
    </row>
    <row r="49" customFormat="false" ht="15" hidden="false" customHeight="false" outlineLevel="0" collapsed="false">
      <c r="A49" s="9" t="s">
        <v>2065</v>
      </c>
      <c r="B49" s="10" t="n">
        <v>105</v>
      </c>
      <c r="C49" s="9" t="n">
        <f aca="false">COUNTIF(Pairs!$F$2:$F$1000,"*|ROLE*")</f>
        <v>90</v>
      </c>
      <c r="D49" s="9" t="n">
        <f aca="false">C49-B49</f>
        <v>-15</v>
      </c>
    </row>
    <row r="50" customFormat="false" ht="15" hidden="false" customHeight="false" outlineLevel="0" collapsed="false">
      <c r="A50" s="9" t="s">
        <v>2066</v>
      </c>
      <c r="B50" s="10" t="n">
        <v>105</v>
      </c>
      <c r="C50" s="9" t="n">
        <f aca="false">COUNTIF(Pairs!$F$2:$F$1000,"none")</f>
        <v>123</v>
      </c>
      <c r="D50" s="9" t="n">
        <f aca="false">C50-B50</f>
        <v>18</v>
      </c>
    </row>
    <row r="52" customFormat="false" ht="15" hidden="false" customHeight="false" outlineLevel="0" collapsed="false">
      <c r="A52" s="7" t="s">
        <v>2067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45"/>
  </cols>
  <sheetData>
    <row r="1" customFormat="false" ht="15" hidden="false" customHeight="false" outlineLevel="0" collapsed="false">
      <c r="A1" s="13" t="s">
        <v>2068</v>
      </c>
      <c r="B1" s="14"/>
      <c r="C1" s="14"/>
    </row>
    <row r="2" customFormat="false" ht="15" hidden="false" customHeight="false" outlineLevel="0" collapsed="false">
      <c r="A2" s="5" t="s">
        <v>2069</v>
      </c>
      <c r="B2" s="5" t="s">
        <v>2070</v>
      </c>
      <c r="C2" s="5" t="s">
        <v>2071</v>
      </c>
    </row>
    <row r="3" customFormat="false" ht="15" hidden="false" customHeight="false" outlineLevel="0" collapsed="false">
      <c r="A3" s="5" t="s">
        <v>27</v>
      </c>
      <c r="B3" s="5" t="s">
        <v>2072</v>
      </c>
      <c r="C3" s="5" t="s">
        <v>858</v>
      </c>
    </row>
    <row r="4" customFormat="false" ht="15" hidden="false" customHeight="false" outlineLevel="0" collapsed="false">
      <c r="A4" s="5" t="s">
        <v>67</v>
      </c>
      <c r="B4" s="5" t="s">
        <v>2073</v>
      </c>
      <c r="C4" s="5" t="s">
        <v>863</v>
      </c>
    </row>
    <row r="5" customFormat="false" ht="15" hidden="false" customHeight="false" outlineLevel="0" collapsed="false">
      <c r="A5" s="5" t="s">
        <v>32</v>
      </c>
      <c r="B5" s="5" t="s">
        <v>2074</v>
      </c>
      <c r="C5" s="5" t="s">
        <v>849</v>
      </c>
    </row>
    <row r="6" customFormat="false" ht="15" hidden="false" customHeight="false" outlineLevel="0" collapsed="false">
      <c r="A6" s="5" t="s">
        <v>38</v>
      </c>
      <c r="B6" s="5" t="s">
        <v>2075</v>
      </c>
      <c r="C6" s="5" t="s">
        <v>811</v>
      </c>
    </row>
    <row r="7" customFormat="false" ht="15" hidden="false" customHeight="false" outlineLevel="0" collapsed="false">
      <c r="A7" s="5" t="s">
        <v>49</v>
      </c>
      <c r="B7" s="5" t="s">
        <v>2076</v>
      </c>
      <c r="C7" s="5" t="s">
        <v>878</v>
      </c>
    </row>
    <row r="8" customFormat="false" ht="15" hidden="false" customHeight="false" outlineLevel="0" collapsed="false">
      <c r="A8" s="5" t="s">
        <v>35</v>
      </c>
      <c r="B8" s="5" t="s">
        <v>2077</v>
      </c>
      <c r="C8" s="5" t="s">
        <v>816</v>
      </c>
    </row>
    <row r="9" customFormat="false" ht="15" hidden="false" customHeight="false" outlineLevel="0" collapsed="false">
      <c r="A9" s="5" t="s">
        <v>54</v>
      </c>
      <c r="B9" s="5" t="s">
        <v>2078</v>
      </c>
      <c r="C9" s="5" t="s">
        <v>894</v>
      </c>
    </row>
    <row r="10" customFormat="false" ht="15" hidden="false" customHeight="false" outlineLevel="0" collapsed="false">
      <c r="A10" s="5" t="s">
        <v>43</v>
      </c>
      <c r="B10" s="5" t="s">
        <v>2079</v>
      </c>
      <c r="C10" s="5" t="s">
        <v>898</v>
      </c>
    </row>
    <row r="11" customFormat="false" ht="15" hidden="false" customHeight="false" outlineLevel="0" collapsed="false">
      <c r="A11" s="5" t="s">
        <v>80</v>
      </c>
      <c r="B11" s="5" t="s">
        <v>2080</v>
      </c>
      <c r="C11" s="5" t="s">
        <v>886</v>
      </c>
    </row>
    <row r="12" customFormat="false" ht="15" hidden="false" customHeight="false" outlineLevel="0" collapsed="false">
      <c r="A12" s="5" t="s">
        <v>46</v>
      </c>
      <c r="B12" s="5" t="s">
        <v>2081</v>
      </c>
      <c r="C12" s="5" t="s">
        <v>890</v>
      </c>
    </row>
    <row r="13" customFormat="false" ht="15" hidden="false" customHeight="false" outlineLevel="0" collapsed="false">
      <c r="A13" s="5" t="s">
        <v>252</v>
      </c>
      <c r="B13" s="5" t="s">
        <v>2082</v>
      </c>
      <c r="C13" s="5" t="s">
        <v>2083</v>
      </c>
    </row>
    <row r="15" customFormat="false" ht="15" hidden="false" customHeight="false" outlineLevel="0" collapsed="false">
      <c r="A15" s="13" t="s">
        <v>2084</v>
      </c>
      <c r="B15" s="14"/>
      <c r="C15" s="14"/>
    </row>
    <row r="16" customFormat="false" ht="15" hidden="false" customHeight="false" outlineLevel="0" collapsed="false">
      <c r="A16" s="5" t="s">
        <v>2085</v>
      </c>
      <c r="B16" s="5" t="s">
        <v>2086</v>
      </c>
      <c r="C16" s="5"/>
    </row>
    <row r="17" customFormat="false" ht="15" hidden="false" customHeight="false" outlineLevel="0" collapsed="false">
      <c r="A17" s="5" t="s">
        <v>2087</v>
      </c>
      <c r="B17" s="5" t="s">
        <v>2088</v>
      </c>
      <c r="C17" s="5"/>
    </row>
    <row r="18" customFormat="false" ht="15" hidden="false" customHeight="false" outlineLevel="0" collapsed="false">
      <c r="A18" s="5" t="s">
        <v>2089</v>
      </c>
      <c r="B18" s="5" t="s">
        <v>2090</v>
      </c>
      <c r="C18" s="5"/>
    </row>
    <row r="19" customFormat="false" ht="23.85" hidden="false" customHeight="false" outlineLevel="0" collapsed="false">
      <c r="A19" s="5" t="s">
        <v>2091</v>
      </c>
      <c r="B19" s="5" t="s">
        <v>2092</v>
      </c>
      <c r="C19" s="5"/>
    </row>
    <row r="20" customFormat="false" ht="15" hidden="false" customHeight="false" outlineLevel="0" collapsed="false">
      <c r="A20" s="5" t="s">
        <v>2093</v>
      </c>
      <c r="B20" s="5" t="s">
        <v>2094</v>
      </c>
      <c r="C20" s="5"/>
    </row>
    <row r="22" customFormat="false" ht="15" hidden="false" customHeight="false" outlineLevel="0" collapsed="false">
      <c r="A22" s="13" t="s">
        <v>2095</v>
      </c>
      <c r="B22" s="14"/>
      <c r="C22" s="14"/>
    </row>
    <row r="23" customFormat="false" ht="15" hidden="false" customHeight="false" outlineLevel="0" collapsed="false">
      <c r="A23" s="5" t="s">
        <v>800</v>
      </c>
      <c r="B23" s="5" t="s">
        <v>2096</v>
      </c>
      <c r="C23" s="5"/>
    </row>
    <row r="24" customFormat="false" ht="15" hidden="false" customHeight="false" outlineLevel="0" collapsed="false">
      <c r="A24" s="5" t="s">
        <v>852</v>
      </c>
      <c r="B24" s="5" t="s">
        <v>2097</v>
      </c>
      <c r="C24" s="5"/>
    </row>
    <row r="25" customFormat="false" ht="15" hidden="false" customHeight="false" outlineLevel="0" collapsed="false">
      <c r="A25" s="5" t="s">
        <v>815</v>
      </c>
      <c r="B25" s="5" t="s">
        <v>2098</v>
      </c>
      <c r="C25" s="5"/>
    </row>
    <row r="26" customFormat="false" ht="15" hidden="false" customHeight="false" outlineLevel="0" collapsed="false">
      <c r="A26" s="5" t="s">
        <v>828</v>
      </c>
      <c r="B26" s="5" t="s">
        <v>2099</v>
      </c>
      <c r="C26" s="5"/>
    </row>
    <row r="27" customFormat="false" ht="15" hidden="false" customHeight="false" outlineLevel="0" collapsed="false">
      <c r="A27" s="5" t="s">
        <v>862</v>
      </c>
      <c r="B27" s="5" t="s">
        <v>2100</v>
      </c>
      <c r="C27" s="5"/>
    </row>
    <row r="28" customFormat="false" ht="15" hidden="false" customHeight="false" outlineLevel="0" collapsed="false">
      <c r="A28" s="5" t="s">
        <v>832</v>
      </c>
      <c r="B28" s="5" t="s">
        <v>2101</v>
      </c>
      <c r="C28" s="5"/>
    </row>
    <row r="29" customFormat="false" ht="15" hidden="false" customHeight="false" outlineLevel="0" collapsed="false">
      <c r="A29" s="5" t="s">
        <v>857</v>
      </c>
      <c r="B29" s="5" t="s">
        <v>2102</v>
      </c>
      <c r="C29" s="5"/>
    </row>
    <row r="30" customFormat="false" ht="15" hidden="false" customHeight="false" outlineLevel="0" collapsed="false">
      <c r="A30" s="5" t="s">
        <v>810</v>
      </c>
      <c r="B30" s="5" t="s">
        <v>2103</v>
      </c>
      <c r="C30" s="5"/>
    </row>
    <row r="31" customFormat="false" ht="15" hidden="false" customHeight="false" outlineLevel="0" collapsed="false">
      <c r="A31" s="5" t="s">
        <v>809</v>
      </c>
      <c r="B31" s="5" t="s">
        <v>2104</v>
      </c>
      <c r="C31" s="5"/>
    </row>
    <row r="33" customFormat="false" ht="15" hidden="false" customHeight="false" outlineLevel="0" collapsed="false">
      <c r="A33" s="13" t="s">
        <v>2105</v>
      </c>
      <c r="B33" s="14"/>
      <c r="C33" s="14"/>
    </row>
    <row r="34" customFormat="false" ht="15" hidden="false" customHeight="false" outlineLevel="0" collapsed="false">
      <c r="A34" s="5" t="s">
        <v>2106</v>
      </c>
      <c r="B34" s="5" t="s">
        <v>2107</v>
      </c>
      <c r="C34" s="5"/>
    </row>
    <row r="35" customFormat="false" ht="23.85" hidden="false" customHeight="false" outlineLevel="0" collapsed="false">
      <c r="A35" s="5" t="s">
        <v>2108</v>
      </c>
      <c r="B35" s="5" t="s">
        <v>2109</v>
      </c>
      <c r="C35" s="5"/>
    </row>
    <row r="36" customFormat="false" ht="23.85" hidden="false" customHeight="false" outlineLevel="0" collapsed="false">
      <c r="A36" s="5" t="s">
        <v>2110</v>
      </c>
      <c r="B36" s="5" t="s">
        <v>2111</v>
      </c>
      <c r="C36" s="5"/>
    </row>
    <row r="37" customFormat="false" ht="15" hidden="false" customHeight="false" outlineLevel="0" collapsed="false">
      <c r="A37" s="5" t="s">
        <v>2112</v>
      </c>
      <c r="B37" s="5" t="s">
        <v>2113</v>
      </c>
      <c r="C37" s="5"/>
    </row>
    <row r="38" customFormat="false" ht="23.85" hidden="false" customHeight="false" outlineLevel="0" collapsed="false">
      <c r="A38" s="5" t="s">
        <v>2114</v>
      </c>
      <c r="B38" s="5" t="s">
        <v>2115</v>
      </c>
      <c r="C38" s="5"/>
    </row>
    <row r="39" customFormat="false" ht="15" hidden="false" customHeight="false" outlineLevel="0" collapsed="false">
      <c r="A39" s="5" t="s">
        <v>809</v>
      </c>
      <c r="B39" s="5" t="s">
        <v>2116</v>
      </c>
      <c r="C39" s="5"/>
    </row>
    <row r="41" customFormat="false" ht="15" hidden="false" customHeight="false" outlineLevel="0" collapsed="false">
      <c r="A41" s="13" t="s">
        <v>2117</v>
      </c>
      <c r="B41" s="14"/>
      <c r="C41" s="14"/>
    </row>
    <row r="42" customFormat="false" ht="15" hidden="false" customHeight="false" outlineLevel="0" collapsed="false">
      <c r="A42" s="5" t="s">
        <v>2118</v>
      </c>
      <c r="B42" s="5" t="s">
        <v>2119</v>
      </c>
      <c r="C42" s="5"/>
    </row>
    <row r="43" customFormat="false" ht="15" hidden="false" customHeight="false" outlineLevel="0" collapsed="false">
      <c r="A43" s="5" t="s">
        <v>2120</v>
      </c>
      <c r="B43" s="5" t="s">
        <v>2121</v>
      </c>
      <c r="C43" s="5"/>
    </row>
    <row r="44" customFormat="false" ht="15" hidden="false" customHeight="false" outlineLevel="0" collapsed="false">
      <c r="A44" s="5" t="s">
        <v>2122</v>
      </c>
      <c r="B44" s="5" t="s">
        <v>2123</v>
      </c>
      <c r="C44" s="5"/>
    </row>
    <row r="45" customFormat="false" ht="15" hidden="false" customHeight="false" outlineLevel="0" collapsed="false">
      <c r="A45" s="5" t="s">
        <v>2124</v>
      </c>
      <c r="B45" s="5" t="s">
        <v>2125</v>
      </c>
      <c r="C45" s="5"/>
    </row>
    <row r="46" customFormat="false" ht="15" hidden="false" customHeight="false" outlineLevel="0" collapsed="false">
      <c r="A46" s="5" t="s">
        <v>2126</v>
      </c>
      <c r="B46" s="5" t="s">
        <v>2127</v>
      </c>
      <c r="C46" s="5"/>
    </row>
    <row r="47" customFormat="false" ht="15" hidden="false" customHeight="false" outlineLevel="0" collapsed="false">
      <c r="A47" s="5" t="s">
        <v>2128</v>
      </c>
      <c r="B47" s="5" t="s">
        <v>2129</v>
      </c>
      <c r="C47" s="5"/>
    </row>
    <row r="48" customFormat="false" ht="23.85" hidden="false" customHeight="false" outlineLevel="0" collapsed="false">
      <c r="A48" s="5" t="s">
        <v>2130</v>
      </c>
      <c r="B48" s="5" t="s">
        <v>2131</v>
      </c>
      <c r="C4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2026-10-08T09:39:04Z</dcterms:created>
  <dc:creator>openpyxl</dc:creator>
  <dc:description/>
  <dc:language>en-US</dc:language>
  <cp:lastModifiedBy/>
  <dcterms:modified xsi:type="dcterms:W3CDTF">2026-10-08T09:39:05Z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