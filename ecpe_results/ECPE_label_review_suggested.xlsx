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Extra emotion spans" sheetId="2" state="visible" r:id="rId2"/>
    <sheet name="Missed gold spans" sheetId="3" state="visible" r:id="rId3"/>
  </sheets>
  <definedNames>
    <definedName name="_xlnm._FilterDatabase" localSheetId="1" hidden="1">'Extra emotion spans'!$A$1:$R$158</definedName>
    <definedName name="_xlnm._FilterDatabase" localSheetId="2" hidden="1">'Missed gold spans'!$A$1:$K$90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404040"/>
      <sz val="10"/>
    </font>
    <font>
      <name val="Arial"/>
      <b val="1"/>
      <sz val="10"/>
    </font>
    <font>
      <name val="Arial"/>
      <b val="1"/>
      <sz val="14"/>
    </font>
  </fonts>
  <fills count="7">
    <fill>
      <patternFill/>
    </fill>
    <fill>
      <patternFill patternType="gray125"/>
    </fill>
    <fill>
      <patternFill patternType="solid">
        <fgColor rgb="00534AB7"/>
      </patternFill>
    </fill>
    <fill>
      <patternFill patternType="solid">
        <fgColor rgb="005F5E5A"/>
      </patternFill>
    </fill>
    <fill>
      <patternFill patternType="solid">
        <fgColor rgb="00BF8F00"/>
      </patternFill>
    </fill>
    <fill>
      <patternFill patternType="solid">
        <fgColor rgb="00EDEDED"/>
      </patternFill>
    </fill>
    <fill>
      <patternFill patternType="solid">
        <fgColor rgb="00FFF2CC"/>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5"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horizontal="left"/>
    </xf>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2" fillId="0" borderId="1" applyAlignment="1" pivotButton="0" quotePrefix="0" xfId="0">
      <alignment vertical="top" wrapText="1"/>
    </xf>
    <xf numFmtId="2" fontId="2" fillId="0"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8" customWidth="1" min="1" max="1"/>
    <col width="100" customWidth="1" min="2" max="2"/>
  </cols>
  <sheetData>
    <row r="1">
      <c r="A1" s="1" t="inlineStr">
        <is>
          <t>ECPE label review</t>
        </is>
      </c>
      <c r="B1" s="2" t="n"/>
    </row>
    <row r="2">
      <c r="A2" s="3" t="inlineStr">
        <is>
          <t>Source</t>
        </is>
      </c>
      <c r="B2" s="3" t="inlineStr">
        <is>
          <t>Out-of-fold predictions from 5-fold CV of the roberta-base ECPE model (relaxed pair F1 0.605) on the v3 synthetic set.</t>
        </is>
      </c>
    </row>
    <row r="3">
      <c r="A3" s="3" t="inlineStr">
        <is>
          <t>Purpose</t>
        </is>
      </c>
      <c r="B3" s="3" t="inlineStr">
        <is>
          <t>Decide whether each disagreement between the model and the draft labels is a model error or a label problem.</t>
        </is>
      </c>
    </row>
    <row r="4">
      <c r="A4" s="3" t="inlineStr">
        <is>
          <t>Which cells to fill</t>
        </is>
      </c>
      <c r="B4" s="3" t="inlineStr">
        <is>
          <t>Only the yellow columns on the two review sheets. Everything else is generated; do not edit it.</t>
        </is>
      </c>
    </row>
    <row r="5">
      <c r="A5" s="3" t="inlineStr">
        <is>
          <t>Grey columns</t>
        </is>
      </c>
      <c r="B5" s="3" t="inlineStr">
        <is>
          <t>Suggested verdicts written by Claude. Treat them as a draft: read the entry yourself, then pick your own verdict in the yellow column. Agreeing is fine; copy nothing without checking.</t>
        </is>
      </c>
    </row>
    <row r="6">
      <c r="A6" s="3" t="inlineStr">
        <is>
          <t>Row order</t>
        </is>
      </c>
      <c r="B6" s="3" t="inlineStr">
        <is>
          <t>Extra emotion spans: by span confidence, highest first. Missed gold spans: by entry ID.</t>
        </is>
      </c>
    </row>
    <row r="7">
      <c r="A7" s="3" t="inlineStr">
        <is>
          <t>Matching rule</t>
        </is>
      </c>
      <c r="B7" s="3" t="inlineStr">
        <is>
          <t>A prediction matches a gold span when character overlap / union is at least 0.5 (the relaxed match in train_ecpe.py).</t>
        </is>
      </c>
    </row>
    <row r="8">
      <c r="A8" s="3" t="inlineStr">
        <is>
          <t>Agreement subset</t>
        </is>
      </c>
      <c r="B8" s="3" t="inlineStr">
        <is>
          <t>For Cohen's kappa, two reviewers should each do the first 30 rows of 'Extra emotion spans' independently, with the grey columns hidden (right-click the column headers K:N, Hide).</t>
        </is>
      </c>
    </row>
    <row r="9">
      <c r="A9" s="3" t="n"/>
      <c r="B9" s="3" t="n"/>
    </row>
    <row r="10">
      <c r="A10" s="2" t="inlineStr">
        <is>
          <t>Extra emotion spans: verdicts</t>
        </is>
      </c>
      <c r="B10" s="2" t="n"/>
    </row>
    <row r="11">
      <c r="A11" s="3" t="inlineStr">
        <is>
          <t>real emotion missed by labels</t>
        </is>
      </c>
      <c r="B11" s="3" t="inlineStr">
        <is>
          <t>The clause expresses a feeling that no gold row covers. Fill 'correct emotion' and, if stated, the cause clause copied exactly from the entry (or 'implicit').</t>
        </is>
      </c>
    </row>
    <row r="12">
      <c r="A12" s="3" t="inlineStr">
        <is>
          <t>restates a gold emotion</t>
        </is>
      </c>
      <c r="B12" s="3" t="inlineStr">
        <is>
          <t>Same feeling and cause as an existing gold row, in different words (e.g. 'my hands were shaking' next to gold 'so stressed'). No label change needed.</t>
        </is>
      </c>
    </row>
    <row r="13">
      <c r="A13" s="3" t="inlineStr">
        <is>
          <t>boundary of a gold span</t>
        </is>
      </c>
      <c r="B13" s="3" t="inlineStr">
        <is>
          <t>The model found a gold emotion but with different boundaries, or merged two gold emotions into one span.</t>
        </is>
      </c>
    </row>
    <row r="14">
      <c r="A14" s="3" t="inlineStr">
        <is>
          <t>not an emotion</t>
        </is>
      </c>
      <c r="B14" s="3" t="inlineStr">
        <is>
          <t>Fragment or plain fact, e.g. 'i', 'this', 'he looks so tired'.</t>
        </is>
      </c>
    </row>
    <row r="15">
      <c r="A15" s="3" t="inlineStr">
        <is>
          <t>unsure</t>
        </is>
      </c>
      <c r="B15" s="3" t="inlineStr">
        <is>
          <t>Leave a note and discuss with the second reviewer.</t>
        </is>
      </c>
    </row>
    <row r="16">
      <c r="A16" s="3" t="n"/>
      <c r="B16" s="3" t="n"/>
    </row>
    <row r="17">
      <c r="A17" s="2" t="inlineStr">
        <is>
          <t>Missed gold spans: verdicts</t>
        </is>
      </c>
      <c r="B17" s="2" t="n"/>
    </row>
    <row r="18">
      <c r="A18" s="3" t="inlineStr">
        <is>
          <t>model error</t>
        </is>
      </c>
      <c r="B18" s="3" t="inlineStr">
        <is>
          <t>The gold label is right; the model missed it or cut it badly.</t>
        </is>
      </c>
    </row>
    <row r="19">
      <c r="A19" s="3" t="inlineStr">
        <is>
          <t>gold label wrong</t>
        </is>
      </c>
      <c r="B19" s="3" t="inlineStr">
        <is>
          <t>Not really an emotion clause, the wrong emotion, or the wrong cause. Explain in notes.</t>
        </is>
      </c>
    </row>
    <row r="20">
      <c r="A20" s="3" t="inlineStr">
        <is>
          <t>gold boundary off</t>
        </is>
      </c>
      <c r="B20" s="3" t="inlineStr">
        <is>
          <t>The gold clause includes the cause, an action or context instead of just the feeling words.</t>
        </is>
      </c>
    </row>
    <row r="21">
      <c r="A21" s="3" t="n"/>
      <c r="B21" s="3" t="n"/>
    </row>
    <row r="22">
      <c r="A22" s="3" t="inlineStr">
        <is>
          <t>Example (Extra emotion spans)</t>
        </is>
      </c>
      <c r="B22" s="3" t="inlineStr">
        <is>
          <t>S011, 'smiling like an idiot': verdict = real emotion missed by labels; correct emotion = joy; cause clause = Our team won the inter-college quiz at COEP and I answered the last question</t>
        </is>
      </c>
    </row>
    <row r="23">
      <c r="A23" s="3" t="n"/>
      <c r="B23" s="3" t="n"/>
    </row>
    <row r="24">
      <c r="A24" s="2" t="inlineStr">
        <is>
          <t>Tallies (update automatically)</t>
        </is>
      </c>
      <c r="B24" s="2" t="n"/>
    </row>
    <row r="25">
      <c r="A25" s="3" t="inlineStr">
        <is>
          <t>Extra: real emotion missed by labels</t>
        </is>
      </c>
      <c r="B25" s="4">
        <f>COUNTIF('Extra emotion spans'!O2:O158,"real emotion missed by labels")</f>
        <v/>
      </c>
    </row>
    <row r="26">
      <c r="A26" s="3" t="inlineStr">
        <is>
          <t>Extra: restates a gold emotion</t>
        </is>
      </c>
      <c r="B26" s="4">
        <f>COUNTIF('Extra emotion spans'!O2:O158,"restates a gold emotion")</f>
        <v/>
      </c>
    </row>
    <row r="27">
      <c r="A27" s="3" t="inlineStr">
        <is>
          <t>Extra: boundary of a gold span</t>
        </is>
      </c>
      <c r="B27" s="4">
        <f>COUNTIF('Extra emotion spans'!O2:O158,"boundary of a gold span")</f>
        <v/>
      </c>
    </row>
    <row r="28">
      <c r="A28" s="3" t="inlineStr">
        <is>
          <t>Extra: not an emotion</t>
        </is>
      </c>
      <c r="B28" s="4">
        <f>COUNTIF('Extra emotion spans'!O2:O158,"not an emotion")</f>
        <v/>
      </c>
    </row>
    <row r="29">
      <c r="A29" s="3" t="inlineStr">
        <is>
          <t>Extra: unsure</t>
        </is>
      </c>
      <c r="B29" s="4">
        <f>COUNTIF('Extra emotion spans'!O2:O158,"unsure")</f>
        <v/>
      </c>
    </row>
    <row r="30">
      <c r="A30" s="3" t="inlineStr">
        <is>
          <t>Extra: not yet reviewed</t>
        </is>
      </c>
      <c r="B30" s="4">
        <f>COUNTA('Extra emotion spans'!A2:A158)-COUNTA('Extra emotion spans'!O2:O158)</f>
        <v/>
      </c>
    </row>
    <row r="31">
      <c r="A31" s="3" t="inlineStr">
        <is>
          <t>Extra: verdict same as suggestion</t>
        </is>
      </c>
      <c r="B31" s="4">
        <f>SUMPRODUCT(('Extra emotion spans'!O2:O158&lt;&gt;"")*('Extra emotion spans'!O2:O158='Extra emotion spans'!K2:K158))</f>
        <v/>
      </c>
    </row>
    <row r="32">
      <c r="A32" s="3" t="inlineStr">
        <is>
          <t>Extra: verdict changed from suggestion</t>
        </is>
      </c>
      <c r="B32" s="4">
        <f>COUNTA('Extra emotion spans'!O2:O158)-B31</f>
        <v/>
      </c>
    </row>
    <row r="33">
      <c r="A33" s="3" t="inlineStr">
        <is>
          <t>Missed: model error</t>
        </is>
      </c>
      <c r="B33" s="4">
        <f>COUNTIF('Missed gold spans'!J2:J90,"model error")</f>
        <v/>
      </c>
    </row>
    <row r="34">
      <c r="A34" s="3" t="inlineStr">
        <is>
          <t>Missed: gold label wrong</t>
        </is>
      </c>
      <c r="B34" s="4">
        <f>COUNTIF('Missed gold spans'!J2:J90,"gold label wrong")</f>
        <v/>
      </c>
    </row>
    <row r="35">
      <c r="A35" s="3" t="inlineStr">
        <is>
          <t>Missed: gold boundary off</t>
        </is>
      </c>
      <c r="B35" s="4">
        <f>COUNTIF('Missed gold spans'!J2:J90,"gold boundary off")</f>
        <v/>
      </c>
    </row>
    <row r="36">
      <c r="A36" s="3" t="inlineStr">
        <is>
          <t>Missed: unsure</t>
        </is>
      </c>
      <c r="B36" s="4">
        <f>COUNTIF('Missed gold spans'!J2:J90,"unsure")</f>
        <v/>
      </c>
    </row>
    <row r="37">
      <c r="A37" s="3" t="inlineStr">
        <is>
          <t>Missed: not yet reviewed</t>
        </is>
      </c>
      <c r="B37" s="4">
        <f>COUNTA('Missed gold spans'!A2:A90)-COUNTA('Missed gold spans'!J2:J90)</f>
        <v/>
      </c>
    </row>
    <row r="38">
      <c r="A38" s="3" t="inlineStr">
        <is>
          <t>Missed: verdict same as suggestion</t>
        </is>
      </c>
      <c r="B38" s="4">
        <f>SUMPRODUCT(('Missed gold spans'!J2:J90&lt;&gt;"")*('Missed gold spans'!J2:J90='Missed gold spans'!H2:H90))</f>
        <v/>
      </c>
    </row>
    <row r="39">
      <c r="A39" s="3" t="inlineStr">
        <is>
          <t>Missed: verdict changed from suggestion</t>
        </is>
      </c>
      <c r="B39" s="4">
        <f>COUNTA('Missed gold spans'!J2:J90)-B38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60" customWidth="1" min="3" max="3"/>
    <col width="30" customWidth="1" min="4" max="4"/>
    <col width="12" customWidth="1" min="5" max="5"/>
    <col width="10" customWidth="1" min="6" max="6"/>
    <col width="10" customWidth="1" min="7" max="7"/>
    <col width="34" customWidth="1" min="8" max="8"/>
    <col width="34" customWidth="1" min="9" max="9"/>
    <col width="18" customWidth="1" min="10" max="10"/>
    <col width="22" customWidth="1" min="11" max="11"/>
    <col width="12" customWidth="1" min="12" max="12"/>
    <col width="30" customWidth="1" min="13" max="13"/>
    <col width="36" customWidth="1" min="14" max="14"/>
    <col width="22" customWidth="1" min="15" max="15"/>
    <col width="14" customWidth="1" min="16" max="16"/>
    <col width="34" customWidth="1" min="17" max="17"/>
    <col width="24" customWidth="1" min="18" max="18"/>
  </cols>
  <sheetData>
    <row r="1">
      <c r="A1" s="5" t="inlineStr">
        <is>
          <t>entry_id</t>
        </is>
      </c>
      <c r="B1" s="5" t="inlineStr">
        <is>
          <t>structure</t>
        </is>
      </c>
      <c r="C1" s="5" t="inlineStr">
        <is>
          <t>entry text</t>
        </is>
      </c>
      <c r="D1" s="5" t="inlineStr">
        <is>
          <t>predicted emotion clause</t>
        </is>
      </c>
      <c r="E1" s="5" t="inlineStr">
        <is>
          <t>predicted emotion</t>
        </is>
      </c>
      <c r="F1" s="5" t="inlineStr">
        <is>
          <t>span confidence</t>
        </is>
      </c>
      <c r="G1" s="5" t="inlineStr">
        <is>
          <t>emotion confidence</t>
        </is>
      </c>
      <c r="H1" s="5" t="inlineStr">
        <is>
          <t>predicted cause</t>
        </is>
      </c>
      <c r="I1" s="5" t="inlineStr">
        <is>
          <t>gold emotion clauses</t>
        </is>
      </c>
      <c r="J1" s="5" t="inlineStr">
        <is>
          <t>auto flag</t>
        </is>
      </c>
      <c r="K1" s="6" t="inlineStr">
        <is>
          <t>suggested verdict</t>
        </is>
      </c>
      <c r="L1" s="6" t="inlineStr">
        <is>
          <t>suggested emotion</t>
        </is>
      </c>
      <c r="M1" s="6" t="inlineStr">
        <is>
          <t>suggested cause</t>
        </is>
      </c>
      <c r="N1" s="6" t="inlineStr">
        <is>
          <t>why (suggestion)</t>
        </is>
      </c>
      <c r="O1" s="7" t="inlineStr">
        <is>
          <t>verdict</t>
        </is>
      </c>
      <c r="P1" s="7" t="inlineStr">
        <is>
          <t>correct emotion</t>
        </is>
      </c>
      <c r="Q1" s="7" t="inlineStr">
        <is>
          <t>cause clause (copy exactly)</t>
        </is>
      </c>
      <c r="R1" s="7" t="inlineStr">
        <is>
          <t>notes</t>
        </is>
      </c>
    </row>
    <row r="2">
      <c r="A2" s="8" t="inlineStr">
        <is>
          <t>S334</t>
        </is>
      </c>
      <c r="B2" s="8" t="inlineStr">
        <is>
          <t>one cause, two emotions</t>
        </is>
      </c>
      <c r="C2" s="8" t="inlineStr">
        <is>
          <t>the rain stopped just as the match began. everyone cheered and i felt thrilled and relieved at once.</t>
        </is>
      </c>
      <c r="D2" s="8" t="inlineStr">
        <is>
          <t>i felt thrilled and relieved at once</t>
        </is>
      </c>
      <c r="E2" s="8" t="inlineStr">
        <is>
          <t>joy</t>
        </is>
      </c>
      <c r="F2" s="9" t="n">
        <v>0.9986</v>
      </c>
      <c r="G2" s="9" t="n">
        <v>0.9858</v>
      </c>
      <c r="H2" s="8" t="inlineStr">
        <is>
          <t>the rain stopped just as the match began</t>
        </is>
      </c>
      <c r="I2" s="8" t="inlineStr">
        <is>
          <t>i felt thrilled [joy] | relieved at once [contentment]</t>
        </is>
      </c>
      <c r="J2" s="8" t="inlineStr">
        <is>
          <t>partly overlaps a gold span</t>
        </is>
      </c>
      <c r="K2" s="10" t="inlineStr">
        <is>
          <t>boundary of a gold span</t>
        </is>
      </c>
      <c r="L2" s="10" t="n"/>
      <c r="M2" s="10" t="n"/>
      <c r="N2" s="10" t="inlineStr">
        <is>
          <t>Merges the two gold emotions (thrilled + relieved) into one span</t>
        </is>
      </c>
      <c r="O2" s="11" t="n"/>
      <c r="P2" s="11" t="n"/>
      <c r="Q2" s="11" t="n"/>
      <c r="R2" s="11" t="n"/>
    </row>
    <row r="3">
      <c r="A3" s="8" t="inlineStr">
        <is>
          <t>S335</t>
        </is>
      </c>
      <c r="B3" s="8" t="inlineStr">
        <is>
          <t>one cause, two emotions</t>
        </is>
      </c>
      <c r="C3" s="8" t="inlineStr">
        <is>
          <t>Gauri forgot my birthday completely and i am hurt and angry. Twenty years of friendship and not even a text. Twenty years is a long time and i checked my phone twice anyway.</t>
        </is>
      </c>
      <c r="D3" s="8" t="inlineStr">
        <is>
          <t>i am hurt and angry</t>
        </is>
      </c>
      <c r="E3" s="8" t="inlineStr">
        <is>
          <t>anger</t>
        </is>
      </c>
      <c r="F3" s="9" t="n">
        <v>0.9975000000000001</v>
      </c>
      <c r="G3" s="9" t="n">
        <v>0.9998</v>
      </c>
      <c r="H3" s="8" t="inlineStr">
        <is>
          <t>Gauri forgot my birthday completely</t>
        </is>
      </c>
      <c r="I3" s="8" t="inlineStr">
        <is>
          <t>hurt [sadness] | angry [anger]</t>
        </is>
      </c>
      <c r="J3" s="8" t="inlineStr">
        <is>
          <t>partly overlaps a gold span</t>
        </is>
      </c>
      <c r="K3" s="10" t="inlineStr">
        <is>
          <t>boundary of a gold span</t>
        </is>
      </c>
      <c r="L3" s="10" t="n"/>
      <c r="M3" s="10" t="n"/>
      <c r="N3" s="10" t="inlineStr">
        <is>
          <t>Merges the two gold emotions (hurt + angry) into one span</t>
        </is>
      </c>
      <c r="O3" s="11" t="n"/>
      <c r="P3" s="11" t="n"/>
      <c r="Q3" s="11" t="n"/>
      <c r="R3" s="11" t="n"/>
    </row>
    <row r="4">
      <c r="A4" s="8" t="inlineStr">
        <is>
          <t>S034</t>
        </is>
      </c>
      <c r="B4" s="8" t="inlineStr">
        <is>
          <t>cause after emotion</t>
        </is>
      </c>
      <c r="C4" s="8" t="inlineStr">
        <is>
          <t>So stressed about money because my stipend from Infosys is delayed by a month now. I have to ask for money from home for the rent and I really hate doing that. Told myself it is only for two more weeks.</t>
        </is>
      </c>
      <c r="D4" s="8" t="inlineStr">
        <is>
          <t>I really hate doing that</t>
        </is>
      </c>
      <c r="E4" s="8" t="inlineStr">
        <is>
          <t>anger</t>
        </is>
      </c>
      <c r="F4" s="9" t="n">
        <v>0.997</v>
      </c>
      <c r="G4" s="9" t="n">
        <v>0.9953</v>
      </c>
      <c r="H4" s="8" t="inlineStr">
        <is>
          <t>my stipend from Infosys is delayed by a month now</t>
        </is>
      </c>
      <c r="I4" s="8" t="inlineStr">
        <is>
          <t>So stressed about money [stress]</t>
        </is>
      </c>
      <c r="J4" s="8" t="inlineStr">
        <is>
          <t>no overlap with gold</t>
        </is>
      </c>
      <c r="K4" s="10" t="inlineStr">
        <is>
          <t>real emotion missed by labels</t>
        </is>
      </c>
      <c r="L4" s="10" t="inlineStr">
        <is>
          <t>guilt</t>
        </is>
      </c>
      <c r="M4" s="10" t="inlineStr">
        <is>
          <t>I have to ask for money from home for the rent</t>
        </is>
      </c>
      <c r="N4" s="10" t="inlineStr">
        <is>
          <t>Dislike of asking family for money reads as embarrassment; anger is also plausible</t>
        </is>
      </c>
      <c r="O4" s="11" t="n"/>
      <c r="P4" s="11" t="n"/>
      <c r="Q4" s="11" t="n"/>
      <c r="R4" s="11" t="n"/>
    </row>
    <row r="5">
      <c r="A5" s="8" t="inlineStr">
        <is>
          <t>S138</t>
        </is>
      </c>
      <c r="B5" s="8" t="inlineStr">
        <is>
          <t>different sentences</t>
        </is>
      </c>
      <c r="C5" s="8" t="inlineStr">
        <is>
          <t>papa told me again that my cousin earns more than me at the same age. i was at the dining table and everyone heard it. i just got so angry i left my food and went to my room. Someone kept refilling the plates and changing the topic. Even the cousins were looking at the floor.</t>
        </is>
      </c>
      <c r="D5" s="8" t="inlineStr">
        <is>
          <t>i just got so angry</t>
        </is>
      </c>
      <c r="E5" s="8" t="inlineStr">
        <is>
          <t>anger</t>
        </is>
      </c>
      <c r="F5" s="9" t="n">
        <v>0.997</v>
      </c>
      <c r="G5" s="9" t="n">
        <v>0.9999</v>
      </c>
      <c r="H5" s="8" t="inlineStr">
        <is>
          <t>papa told me again that my cousin earns more than me at the same age</t>
        </is>
      </c>
      <c r="I5" s="8" t="inlineStr">
        <is>
          <t>i just got so angry i left my food and went to my room [anger]</t>
        </is>
      </c>
      <c r="J5" s="8" t="inlineStr">
        <is>
          <t>partly overlaps a gold span</t>
        </is>
      </c>
      <c r="K5" s="10" t="inlineStr">
        <is>
          <t>boundary of a gold span</t>
        </is>
      </c>
      <c r="L5" s="10" t="n"/>
      <c r="M5" s="10" t="n"/>
      <c r="N5" s="10" t="inlineStr">
        <is>
          <t>Shorter version of the gold span; gold also includes the action that followed</t>
        </is>
      </c>
      <c r="O5" s="11" t="n"/>
      <c r="P5" s="11" t="n"/>
      <c r="Q5" s="11" t="n"/>
      <c r="R5" s="11" t="n"/>
    </row>
    <row r="6">
      <c r="A6" s="8" t="inlineStr">
        <is>
          <t>S064</t>
        </is>
      </c>
      <c r="B6" s="8" t="inlineStr">
        <is>
          <t>implicit cause</t>
        </is>
      </c>
      <c r="C6" s="8" t="inlineStr">
        <is>
          <t>Everything felt too loud today, the bus, the classroom, even my own thoughts. I just want to be left alone. I put on my headphones at lunch and took them off at four. Reached the hostel and sat on the stairs for a bit.</t>
        </is>
      </c>
      <c r="D6" s="8" t="inlineStr">
        <is>
          <t>I just want to be left alone</t>
        </is>
      </c>
      <c r="E6" s="8" t="inlineStr">
        <is>
          <t>sadness</t>
        </is>
      </c>
      <c r="F6" s="9" t="n">
        <v>0.9968</v>
      </c>
      <c r="G6" s="9" t="n">
        <v>0.9857</v>
      </c>
      <c r="H6" s="8" t="inlineStr">
        <is>
          <t>(implicit)</t>
        </is>
      </c>
      <c r="I6" s="8" t="inlineStr">
        <is>
          <t>Everything felt too loud today [stress]</t>
        </is>
      </c>
      <c r="J6" s="8" t="inlineStr">
        <is>
          <t>no overlap with gold</t>
        </is>
      </c>
      <c r="K6" s="10" t="inlineStr">
        <is>
          <t>restates a gold emotion</t>
        </is>
      </c>
      <c r="L6" s="10" t="n"/>
      <c r="M6" s="10" t="n"/>
      <c r="N6" s="10" t="inlineStr">
        <is>
          <t>Same overload as the gold stress clause, said another way</t>
        </is>
      </c>
      <c r="O6" s="11" t="n"/>
      <c r="P6" s="11" t="n"/>
      <c r="Q6" s="11" t="n"/>
      <c r="R6" s="11" t="n"/>
    </row>
    <row r="7">
      <c r="A7" s="8" t="inlineStr">
        <is>
          <t>S319</t>
        </is>
      </c>
      <c r="B7" s="8" t="inlineStr">
        <is>
          <t>two emotions, two causes</t>
        </is>
      </c>
      <c r="C7" s="8" t="inlineStr">
        <is>
          <t>We had the breakup talk in the park and it was calm, which made it somehow worse. I walked home with my headphones on and felt completely empty. By night i made khichdi, opened the window and felt oddly at peace for the first time in a month. The park had a few joggers and a couple of old men on a bench. We talked without raising our voices, and when it ended we both said take care and walked in opposite directions.</t>
        </is>
      </c>
      <c r="D7" s="8" t="inlineStr">
        <is>
          <t>felt oddly at peace for the first time in a month</t>
        </is>
      </c>
      <c r="E7" s="8" t="inlineStr">
        <is>
          <t>contentment</t>
        </is>
      </c>
      <c r="F7" s="9" t="n">
        <v>0.9953</v>
      </c>
      <c r="G7" s="9" t="n">
        <v>0.9995000000000001</v>
      </c>
      <c r="H7" s="8" t="inlineStr">
        <is>
          <t>it was calm</t>
        </is>
      </c>
      <c r="I7" s="8" t="inlineStr">
        <is>
          <t>felt completely empty [sadness] | oddly at peace [contentment]</t>
        </is>
      </c>
      <c r="J7" s="8" t="inlineStr">
        <is>
          <t>partly overlaps a gold span</t>
        </is>
      </c>
      <c r="K7" s="10" t="inlineStr">
        <is>
          <t>boundary of a gold span</t>
        </is>
      </c>
      <c r="L7" s="10" t="n"/>
      <c r="M7" s="10" t="n"/>
      <c r="N7" s="10" t="inlineStr">
        <is>
          <t>Longer version of gold 'oddly at peace'</t>
        </is>
      </c>
      <c r="O7" s="11" t="n"/>
      <c r="P7" s="11" t="n"/>
      <c r="Q7" s="11" t="n"/>
      <c r="R7" s="11" t="n"/>
    </row>
    <row r="8">
      <c r="A8" s="8" t="inlineStr">
        <is>
          <t>S147</t>
        </is>
      </c>
      <c r="B8" s="8" t="inlineStr">
        <is>
          <t>different sentences</t>
        </is>
      </c>
      <c r="C8" s="8" t="inlineStr">
        <is>
          <t>the cab driver cancelled three times and then asked for extra to come. i missed the 5 pm train because of that. i was shouting on the phone like a madman and i hate it.</t>
        </is>
      </c>
      <c r="D8" s="8" t="inlineStr">
        <is>
          <t>i hate it</t>
        </is>
      </c>
      <c r="E8" s="8" t="inlineStr">
        <is>
          <t>anger</t>
        </is>
      </c>
      <c r="F8" s="9" t="n">
        <v>0.995</v>
      </c>
      <c r="G8" s="9" t="n">
        <v>0.9994</v>
      </c>
      <c r="H8" s="8" t="inlineStr">
        <is>
          <t>the cab driver cancelled three times and then asked for extra to come</t>
        </is>
      </c>
      <c r="I8" s="8" t="inlineStr">
        <is>
          <t>i was shouting on the phone like a madman [anger]</t>
        </is>
      </c>
      <c r="J8" s="8" t="inlineStr">
        <is>
          <t>no overlap with gold</t>
        </is>
      </c>
      <c r="K8" s="10" t="inlineStr">
        <is>
          <t>unsure</t>
        </is>
      </c>
      <c r="L8" s="10" t="n"/>
      <c r="M8" s="10" t="n"/>
      <c r="N8" s="10" t="inlineStr">
        <is>
          <t>'i hate it' refers to own shouting: could be guilt about it or more anger</t>
        </is>
      </c>
      <c r="O8" s="11" t="n"/>
      <c r="P8" s="11" t="n"/>
      <c r="Q8" s="11" t="n"/>
      <c r="R8" s="11" t="n"/>
    </row>
    <row r="9">
      <c r="A9" s="8" t="inlineStr">
        <is>
          <t>S117</t>
        </is>
      </c>
      <c r="B9" s="8" t="inlineStr">
        <is>
          <t>cause before emotion</t>
        </is>
      </c>
      <c r="C9" s="8" t="inlineStr">
        <is>
          <t>the nurse at the clinic stayed with me till my drip finished and even called my roommate. really grateful, i was so alone there. she did not have to do any of that.</t>
        </is>
      </c>
      <c r="D9" s="8" t="inlineStr">
        <is>
          <t>i was so alone there</t>
        </is>
      </c>
      <c r="E9" s="8" t="inlineStr">
        <is>
          <t>sadness</t>
        </is>
      </c>
      <c r="F9" s="9" t="n">
        <v>0.9948</v>
      </c>
      <c r="G9" s="9" t="n">
        <v>0.9999</v>
      </c>
      <c r="H9" s="8" t="inlineStr">
        <is>
          <t>the nurse at the clinic stayed with me till my drip finished and even called my roommate</t>
        </is>
      </c>
      <c r="I9" s="8" t="inlineStr">
        <is>
          <t>really grateful [gratitude]</t>
        </is>
      </c>
      <c r="J9" s="8" t="inlineStr">
        <is>
          <t>no overlap with gold</t>
        </is>
      </c>
      <c r="K9" s="10" t="inlineStr">
        <is>
          <t>real emotion missed by labels</t>
        </is>
      </c>
      <c r="L9" s="10" t="inlineStr">
        <is>
          <t>sadness</t>
        </is>
      </c>
      <c r="M9" s="10" t="inlineStr">
        <is>
          <t>implicit</t>
        </is>
      </c>
      <c r="N9" s="10" t="inlineStr">
        <is>
          <t>Loneliness is sadness in the scheme; it is a separate past feeling from the gratitude</t>
        </is>
      </c>
      <c r="O9" s="11" t="n"/>
      <c r="P9" s="11" t="n"/>
      <c r="Q9" s="11" t="n"/>
      <c r="R9" s="11" t="n"/>
    </row>
    <row r="10">
      <c r="A10" s="8" t="inlineStr">
        <is>
          <t>S318</t>
        </is>
      </c>
      <c r="B10" s="8" t="inlineStr">
        <is>
          <t>two emotions, two causes</t>
        </is>
      </c>
      <c r="C10" s="8" t="inlineStr">
        <is>
          <t>I have to get the dental surgery done on monday and i keep imagining the worst. My stomach clenches every time i look at the calendar. Ruchi booked me a cab and said she will wait outside the whole time, and i felt so lucky to have her in my life.</t>
        </is>
      </c>
      <c r="D10" s="8" t="inlineStr">
        <is>
          <t>i keep imagining the worst</t>
        </is>
      </c>
      <c r="E10" s="8" t="inlineStr">
        <is>
          <t>fear</t>
        </is>
      </c>
      <c r="F10" s="9" t="n">
        <v>0.9935</v>
      </c>
      <c r="G10" s="9" t="n">
        <v>0.9989</v>
      </c>
      <c r="H10" s="8" t="inlineStr">
        <is>
          <t>I have to get the dental surgery done on monday</t>
        </is>
      </c>
      <c r="I10" s="8" t="inlineStr">
        <is>
          <t>My stomach clenches every time i look at the calendar [fear] | i felt so lucky to have her in my life [gratitude]</t>
        </is>
      </c>
      <c r="J10" s="8" t="inlineStr">
        <is>
          <t>no overlap with gold</t>
        </is>
      </c>
      <c r="K10" s="10" t="inlineStr">
        <is>
          <t>restates a gold emotion</t>
        </is>
      </c>
      <c r="L10" s="10" t="n"/>
      <c r="M10" s="10" t="n"/>
      <c r="N10" s="10" t="inlineStr">
        <is>
          <t>Same fear about the surgery as the gold clause</t>
        </is>
      </c>
      <c r="O10" s="11" t="n"/>
      <c r="P10" s="11" t="n"/>
      <c r="Q10" s="11" t="n"/>
      <c r="R10" s="11" t="n"/>
    </row>
    <row r="11">
      <c r="A11" s="8" t="inlineStr">
        <is>
          <t>S131</t>
        </is>
      </c>
      <c r="B11" s="8" t="inlineStr">
        <is>
          <t>different sentences</t>
        </is>
      </c>
      <c r="C11" s="8" t="inlineStr">
        <is>
          <t>i have been skipping breakfast for two weeks because i wake up late. today the nurse at the health centre checked my bp and said it is low. i honestly got scared hearing that, i dont want to end up fainting in class. i bought bananas and oats on the way back and put an alarm for 7.</t>
        </is>
      </c>
      <c r="D11" s="8" t="inlineStr">
        <is>
          <t>i</t>
        </is>
      </c>
      <c r="E11" s="8" t="inlineStr">
        <is>
          <t>fear</t>
        </is>
      </c>
      <c r="F11" s="9" t="n">
        <v>0.9897</v>
      </c>
      <c r="G11" s="9" t="n">
        <v>0.9562</v>
      </c>
      <c r="H11" s="8" t="inlineStr">
        <is>
          <t>the nurse at the health centre checked my bp and said it is low</t>
        </is>
      </c>
      <c r="I11" s="8" t="inlineStr">
        <is>
          <t>i honestly got scared hearing that [fear]</t>
        </is>
      </c>
      <c r="J11" s="8" t="inlineStr">
        <is>
          <t>partly overlaps a gold span</t>
        </is>
      </c>
      <c r="K11" s="10" t="inlineStr">
        <is>
          <t>not an emotion</t>
        </is>
      </c>
      <c r="L11" s="10" t="n"/>
      <c r="M11" s="10" t="n"/>
      <c r="N11" s="10" t="inlineStr">
        <is>
          <t>Fragment</t>
        </is>
      </c>
      <c r="O11" s="11" t="n"/>
      <c r="P11" s="11" t="n"/>
      <c r="Q11" s="11" t="n"/>
      <c r="R11" s="11" t="n"/>
    </row>
    <row r="12">
      <c r="A12" s="8" t="inlineStr">
        <is>
          <t>S263</t>
        </is>
      </c>
      <c r="B12" s="8" t="inlineStr">
        <is>
          <t>different sentences</t>
        </is>
      </c>
      <c r="C12" s="8" t="inlineStr">
        <is>
          <t>the cab app showed 4 mins away for twenty minutes straight. Then it cancelled and showed a higher fare. I had to walk 2 km in my formal shoes and reached the venue sweating. i was seething the whole way, i hate how helpless it feels. My phone battery was at 9 percent and the maps app kept refreshing. I crossed two bridges and a busy market, and the sun was straight above. When i reached the gate i asked for a glass of water and sat on the steps.</t>
        </is>
      </c>
      <c r="D12" s="8" t="inlineStr">
        <is>
          <t>i hate how helpless it feels</t>
        </is>
      </c>
      <c r="E12" s="8" t="inlineStr">
        <is>
          <t>sadness</t>
        </is>
      </c>
      <c r="F12" s="9" t="n">
        <v>0.9861</v>
      </c>
      <c r="G12" s="9" t="n">
        <v>0.99</v>
      </c>
      <c r="H12" s="8" t="inlineStr">
        <is>
          <t>the cab app showed 4 mins away for twenty minutes straight</t>
        </is>
      </c>
      <c r="I12" s="8" t="inlineStr">
        <is>
          <t>i was seething the whole way [anger]</t>
        </is>
      </c>
      <c r="J12" s="8" t="inlineStr">
        <is>
          <t>no overlap with gold</t>
        </is>
      </c>
      <c r="K12" s="10" t="inlineStr">
        <is>
          <t>real emotion missed by labels</t>
        </is>
      </c>
      <c r="L12" s="10" t="inlineStr">
        <is>
          <t>sadness</t>
        </is>
      </c>
      <c r="M12" s="10" t="n"/>
      <c r="N12" s="10" t="inlineStr">
        <is>
          <t>Helplessness is sadness in the scheme; separate from the gold anger. Cause: same cab situation as the gold pair</t>
        </is>
      </c>
      <c r="O12" s="11" t="n"/>
      <c r="P12" s="11" t="n"/>
      <c r="Q12" s="11" t="n"/>
      <c r="R12" s="11" t="n"/>
    </row>
    <row r="13">
      <c r="A13" s="8" t="inlineStr">
        <is>
          <t>S089</t>
        </is>
      </c>
      <c r="B13" s="8" t="inlineStr">
        <is>
          <t>one cause, two emotions</t>
        </is>
      </c>
      <c r="C13" s="8" t="inlineStr">
        <is>
          <t>Dad finally came to watch my match and I could not believe it. I was happy and a little shocked, he never comes to anything. The match was against the other hostel and we lost on penalties. After it he stood near the fence for a while and then left on his bike.</t>
        </is>
      </c>
      <c r="D13" s="8" t="inlineStr">
        <is>
          <t>I could not believe it</t>
        </is>
      </c>
      <c r="E13" s="8" t="inlineStr">
        <is>
          <t>surprise</t>
        </is>
      </c>
      <c r="F13" s="9" t="n">
        <v>0.9851</v>
      </c>
      <c r="G13" s="9" t="n">
        <v>0.9877</v>
      </c>
      <c r="H13" s="8" t="inlineStr">
        <is>
          <t>Dad finally came to watch my match</t>
        </is>
      </c>
      <c r="I13" s="8" t="inlineStr">
        <is>
          <t>I was happy [joy] | a little shocked [surprise]</t>
        </is>
      </c>
      <c r="J13" s="8" t="inlineStr">
        <is>
          <t>no overlap with gold</t>
        </is>
      </c>
      <c r="K13" s="10" t="inlineStr">
        <is>
          <t>restates a gold emotion</t>
        </is>
      </c>
      <c r="L13" s="10" t="n"/>
      <c r="M13" s="10" t="n"/>
      <c r="N13" s="10" t="inlineStr">
        <is>
          <t>Same surprise as gold 'a little shocked'</t>
        </is>
      </c>
      <c r="O13" s="11" t="n"/>
      <c r="P13" s="11" t="n"/>
      <c r="Q13" s="11" t="n"/>
      <c r="R13" s="11" t="n"/>
    </row>
    <row r="14">
      <c r="A14" s="8" t="inlineStr">
        <is>
          <t>S258</t>
        </is>
      </c>
      <c r="B14" s="8" t="inlineStr">
        <is>
          <t>different sentences</t>
        </is>
      </c>
      <c r="C14" s="8" t="inlineStr">
        <is>
          <t>Aditi and the others decided to meet at the cafe near my old college. They did not tell me about it, i saw the group photo on instagram later. It was posted three hours ago and the caption had everyone tagged except me. I put my phone down and stared at the wall for a long time. feeling really left out and a bit stupid for even checking. I scrolled through the comments and the tags once more and then opened the group chat to see if anyone had mentioned it. Nobody had. I made a cup of coffee and stood near the window looking at the street for a while. The next hour passed without me doing anything useful.</t>
        </is>
      </c>
      <c r="D14" s="8" t="inlineStr">
        <is>
          <t>feeling really left out</t>
        </is>
      </c>
      <c r="E14" s="8" t="inlineStr">
        <is>
          <t>sadness</t>
        </is>
      </c>
      <c r="F14" s="9" t="n">
        <v>0.9808</v>
      </c>
      <c r="G14" s="9" t="n">
        <v>0.9699</v>
      </c>
      <c r="H14" s="8" t="inlineStr">
        <is>
          <t>Aditi and the others decided to meet at the cafe near my old college</t>
        </is>
      </c>
      <c r="I14" s="8" t="inlineStr">
        <is>
          <t>feeling really left out and a bit stupid for even checking [sadness]</t>
        </is>
      </c>
      <c r="J14" s="8" t="inlineStr">
        <is>
          <t>partly overlaps a gold span</t>
        </is>
      </c>
      <c r="K14" s="10" t="inlineStr">
        <is>
          <t>boundary of a gold span</t>
        </is>
      </c>
      <c r="L14" s="10" t="n"/>
      <c r="M14" s="10" t="n"/>
      <c r="N14" s="10" t="inlineStr">
        <is>
          <t>Shorter version of the gold span</t>
        </is>
      </c>
      <c r="O14" s="11" t="n"/>
      <c r="P14" s="11" t="n"/>
      <c r="Q14" s="11" t="n"/>
      <c r="R14" s="11" t="n"/>
    </row>
    <row r="15">
      <c r="A15" s="8" t="inlineStr">
        <is>
          <t>S301</t>
        </is>
      </c>
      <c r="B15" s="8" t="inlineStr">
        <is>
          <t>two emotions, two causes</t>
        </is>
      </c>
      <c r="C15" s="8" t="inlineStr">
        <is>
          <t>Aarti covered for me at the front desk when i was late and nobody noticed. I was so grateful i bought her coffee. But then i realised i had told her a lie about why i was late and i could not shake the guilty feeling for the rest of the day. I wrote down the real reason on a sticky note and then tore it into small pieces. The coffee she liked was from the machine near the stairs and i had to try twice for the right change. She said thanks and went back to her screen.</t>
        </is>
      </c>
      <c r="D15" s="8" t="inlineStr">
        <is>
          <t>I was so grateful i bought her coffee</t>
        </is>
      </c>
      <c r="E15" s="8" t="inlineStr">
        <is>
          <t>gratitude</t>
        </is>
      </c>
      <c r="F15" s="9" t="n">
        <v>0.9808</v>
      </c>
      <c r="G15" s="9" t="n">
        <v>0.9965000000000001</v>
      </c>
      <c r="H15" s="8" t="inlineStr">
        <is>
          <t>Aarti covered for me at the front desk when i was late and nobody noticed</t>
        </is>
      </c>
      <c r="I15" s="8" t="inlineStr">
        <is>
          <t>I was so grateful [gratitude] | i could not shake the guilty feeling for the rest of the day [guilt]</t>
        </is>
      </c>
      <c r="J15" s="8" t="inlineStr">
        <is>
          <t>partly overlaps a gold span</t>
        </is>
      </c>
      <c r="K15" s="10" t="inlineStr">
        <is>
          <t>boundary of a gold span</t>
        </is>
      </c>
      <c r="L15" s="10" t="n"/>
      <c r="M15" s="10" t="n"/>
      <c r="N15" s="10" t="inlineStr">
        <is>
          <t>Longer than gold; includes the action that followed</t>
        </is>
      </c>
      <c r="O15" s="11" t="n"/>
      <c r="P15" s="11" t="n"/>
      <c r="Q15" s="11" t="n"/>
      <c r="R15" s="11" t="n"/>
    </row>
    <row r="16">
      <c r="A16" s="8" t="inlineStr">
        <is>
          <t>S115</t>
        </is>
      </c>
      <c r="B16" s="8" t="inlineStr">
        <is>
          <t>cause before emotion</t>
        </is>
      </c>
      <c r="C16" s="8" t="inlineStr">
        <is>
          <t>she said yes!! i asked her to the farewell and she smiled and said yes. i am sooo happy my hands are still shaking. We were standing near the stairs after the rehearsal and there were people around. She tucked her hair behind her ear and said it again to be sure.</t>
        </is>
      </c>
      <c r="D16" s="8" t="inlineStr">
        <is>
          <t>i am sooo happy</t>
        </is>
      </c>
      <c r="E16" s="8" t="inlineStr">
        <is>
          <t>joy</t>
        </is>
      </c>
      <c r="F16" s="9" t="n">
        <v>0.9758</v>
      </c>
      <c r="G16" s="9" t="n">
        <v>0.9993</v>
      </c>
      <c r="H16" s="8" t="inlineStr">
        <is>
          <t>she smiled and said yes</t>
        </is>
      </c>
      <c r="I16" s="8" t="inlineStr">
        <is>
          <t>i am sooo happy my hands are still shaking [joy]</t>
        </is>
      </c>
      <c r="J16" s="8" t="inlineStr">
        <is>
          <t>partly overlaps a gold span</t>
        </is>
      </c>
      <c r="K16" s="10" t="inlineStr">
        <is>
          <t>boundary of a gold span</t>
        </is>
      </c>
      <c r="L16" s="10" t="n"/>
      <c r="M16" s="10" t="n"/>
      <c r="N16" s="10" t="inlineStr">
        <is>
          <t>Shorter version of the gold span</t>
        </is>
      </c>
      <c r="O16" s="11" t="n"/>
      <c r="P16" s="11" t="n"/>
      <c r="Q16" s="11" t="n"/>
      <c r="R16" s="11" t="n"/>
    </row>
    <row r="17">
      <c r="A17" s="8" t="inlineStr">
        <is>
          <t>S323</t>
        </is>
      </c>
      <c r="B17" s="8" t="inlineStr">
        <is>
          <t>two emotions, two causes</t>
        </is>
      </c>
      <c r="C17" s="8" t="inlineStr">
        <is>
          <t>The lift stopped between floors for ten minutes and i started panicking, i hate closed spaces. When it opened there was a person standing there with a cake box, apparently the building was celebrating something, and i was so surprised i forgot to be scared.</t>
        </is>
      </c>
      <c r="D17" s="8" t="inlineStr">
        <is>
          <t>i was so surprised</t>
        </is>
      </c>
      <c r="E17" s="8" t="inlineStr">
        <is>
          <t>surprise</t>
        </is>
      </c>
      <c r="F17" s="9" t="n">
        <v>0.9639</v>
      </c>
      <c r="G17" s="9" t="n">
        <v>0.998</v>
      </c>
      <c r="H17" s="8" t="inlineStr">
        <is>
          <t>it opened there was a person standing there with a cake box</t>
        </is>
      </c>
      <c r="I17" s="8" t="inlineStr">
        <is>
          <t>i started panicking [fear] | i was so surprised i forgot to be scared [surprise]</t>
        </is>
      </c>
      <c r="J17" s="8" t="inlineStr">
        <is>
          <t>partly overlaps a gold span</t>
        </is>
      </c>
      <c r="K17" s="10" t="inlineStr">
        <is>
          <t>boundary of a gold span</t>
        </is>
      </c>
      <c r="L17" s="10" t="n"/>
      <c r="M17" s="10" t="n"/>
      <c r="N17" s="10" t="inlineStr">
        <is>
          <t>Shorter version of the gold span</t>
        </is>
      </c>
      <c r="O17" s="11" t="n"/>
      <c r="P17" s="11" t="n"/>
      <c r="Q17" s="11" t="n"/>
      <c r="R17" s="11" t="n"/>
    </row>
    <row r="18">
      <c r="A18" s="8" t="inlineStr">
        <is>
          <t>S322</t>
        </is>
      </c>
      <c r="B18" s="8" t="inlineStr">
        <is>
          <t>two emotions, two causes</t>
        </is>
      </c>
      <c r="C18" s="8" t="inlineStr">
        <is>
          <t>Rent is due tomorrow and my freelance client has not paid yet, my stomach is in knots. Then at 9 pm the payment notification popped up and i actually laughed out loud, so relieved and happy. I read the agreement again and the sheet said ten percent was the maximum hike. I copied the clause into a message and kept it as a draft. The building has four flats and we are the only ones who got a message.</t>
        </is>
      </c>
      <c r="D18" s="8" t="inlineStr">
        <is>
          <t>i actually laughed out loud</t>
        </is>
      </c>
      <c r="E18" s="8" t="inlineStr">
        <is>
          <t>joy</t>
        </is>
      </c>
      <c r="F18" s="9" t="n">
        <v>0.9625</v>
      </c>
      <c r="G18" s="9" t="n">
        <v>0.9983</v>
      </c>
      <c r="H18" s="8" t="inlineStr">
        <is>
          <t>the payment notification popped up</t>
        </is>
      </c>
      <c r="I18" s="8" t="inlineStr">
        <is>
          <t>my stomach is in knots [stress] | so relieved and happy [joy]</t>
        </is>
      </c>
      <c r="J18" s="8" t="inlineStr">
        <is>
          <t>no overlap with gold</t>
        </is>
      </c>
      <c r="K18" s="10" t="inlineStr">
        <is>
          <t>restates a gold emotion</t>
        </is>
      </c>
      <c r="L18" s="10" t="n"/>
      <c r="M18" s="10" t="n"/>
      <c r="N18" s="10" t="inlineStr">
        <is>
          <t>Same joy and relief as the gold clause</t>
        </is>
      </c>
      <c r="O18" s="11" t="n"/>
      <c r="P18" s="11" t="n"/>
      <c r="Q18" s="11" t="n"/>
      <c r="R18" s="11" t="n"/>
    </row>
    <row r="19">
      <c r="A19" s="8" t="inlineStr">
        <is>
          <t>S062</t>
        </is>
      </c>
      <c r="B19" s="8" t="inlineStr">
        <is>
          <t>implicit cause</t>
        </is>
      </c>
      <c r="C19" s="8" t="inlineStr">
        <is>
          <t>Randomly feeling grateful today. Nothing specific, just a good feeling about everything. Washed my clothes, made a list for the week and went for a short walk after dinner.</t>
        </is>
      </c>
      <c r="D19" s="8" t="inlineStr">
        <is>
          <t>a good feeling about everything</t>
        </is>
      </c>
      <c r="E19" s="8" t="inlineStr">
        <is>
          <t>contentment</t>
        </is>
      </c>
      <c r="F19" s="9" t="n">
        <v>0.9613</v>
      </c>
      <c r="G19" s="9" t="n">
        <v>0.8143</v>
      </c>
      <c r="H19" s="8" t="inlineStr">
        <is>
          <t>(implicit)</t>
        </is>
      </c>
      <c r="I19" s="8" t="inlineStr">
        <is>
          <t>Randomly feeling grateful today [gratitude]</t>
        </is>
      </c>
      <c r="J19" s="8" t="inlineStr">
        <is>
          <t>no overlap with gold</t>
        </is>
      </c>
      <c r="K19" s="10" t="inlineStr">
        <is>
          <t>restates a gold emotion</t>
        </is>
      </c>
      <c r="L19" s="10" t="n"/>
      <c r="M19" s="10" t="n"/>
      <c r="N19" s="10" t="inlineStr">
        <is>
          <t>Elaborates the gold feeling ('randomly feeling grateful')</t>
        </is>
      </c>
      <c r="O19" s="11" t="n"/>
      <c r="P19" s="11" t="n"/>
      <c r="Q19" s="11" t="n"/>
      <c r="R19" s="11" t="n"/>
    </row>
    <row r="20">
      <c r="A20" s="8" t="inlineStr">
        <is>
          <t>S298</t>
        </is>
      </c>
      <c r="B20" s="8" t="inlineStr">
        <is>
          <t>implicit cause</t>
        </is>
      </c>
      <c r="C20" s="8" t="inlineStr">
        <is>
          <t>heart feels full tonight. thinking of nobody in particular, just thankful.</t>
        </is>
      </c>
      <c r="D20" s="8" t="inlineStr">
        <is>
          <t>heart feels full tonight</t>
        </is>
      </c>
      <c r="E20" s="8" t="inlineStr">
        <is>
          <t>contentment</t>
        </is>
      </c>
      <c r="F20" s="9" t="n">
        <v>0.9608</v>
      </c>
      <c r="G20" s="9" t="n">
        <v>0.9697</v>
      </c>
      <c r="H20" s="8" t="inlineStr">
        <is>
          <t>(implicit)</t>
        </is>
      </c>
      <c r="I20" s="8" t="inlineStr">
        <is>
          <t>just thankful [gratitude]</t>
        </is>
      </c>
      <c r="J20" s="8" t="inlineStr">
        <is>
          <t>no overlap with gold</t>
        </is>
      </c>
      <c r="K20" s="10" t="inlineStr">
        <is>
          <t>restates a gold emotion</t>
        </is>
      </c>
      <c r="L20" s="10" t="n"/>
      <c r="M20" s="10" t="n"/>
      <c r="N20" s="10" t="inlineStr">
        <is>
          <t>Same feeling as gold 'just thankful'</t>
        </is>
      </c>
      <c r="O20" s="11" t="n"/>
      <c r="P20" s="11" t="n"/>
      <c r="Q20" s="11" t="n"/>
      <c r="R20" s="11" t="n"/>
    </row>
    <row r="21">
      <c r="A21" s="8" t="inlineStr">
        <is>
          <t>S083</t>
        </is>
      </c>
      <c r="B21" s="8" t="inlineStr">
        <is>
          <t>two emotions, two causes</t>
        </is>
      </c>
      <c r="C21" s="8" t="inlineStr">
        <is>
          <t>My professor praised my paper in front of the class and I felt proud and a bit shy. After class my labmate said I just got lucky, and it stung more than I want to admit. I know he did not mean it badly. Still it stayed with me till night. The paper was about graph algorithms and I had worked on it for almost the whole semester. In the lab afterwards two people asked me for the code and I shared the link. I made a cup of coffee and sat at my desk till late, rereading the review comments and the mistakes I had marked in red.</t>
        </is>
      </c>
      <c r="D21" s="8" t="inlineStr">
        <is>
          <t>I felt proud</t>
        </is>
      </c>
      <c r="E21" s="8" t="inlineStr">
        <is>
          <t>pride</t>
        </is>
      </c>
      <c r="F21" s="9" t="n">
        <v>0.9585</v>
      </c>
      <c r="G21" s="9" t="n">
        <v>0.9971</v>
      </c>
      <c r="H21" s="8" t="inlineStr">
        <is>
          <t>My professor praised my paper in front of the class</t>
        </is>
      </c>
      <c r="I21" s="8" t="inlineStr">
        <is>
          <t>I felt proud and a bit shy [pride] | it stung more than I want to admit [sadness]</t>
        </is>
      </c>
      <c r="J21" s="8" t="inlineStr">
        <is>
          <t>partly overlaps a gold span</t>
        </is>
      </c>
      <c r="K21" s="10" t="inlineStr">
        <is>
          <t>boundary of a gold span</t>
        </is>
      </c>
      <c r="L21" s="10" t="n"/>
      <c r="M21" s="10" t="n"/>
      <c r="N21" s="10" t="inlineStr">
        <is>
          <t>Shorter version of gold 'I felt proud and a bit shy'</t>
        </is>
      </c>
      <c r="O21" s="11" t="n"/>
      <c r="P21" s="11" t="n"/>
      <c r="Q21" s="11" t="n"/>
      <c r="R21" s="11" t="n"/>
    </row>
    <row r="22">
      <c r="A22" s="8" t="inlineStr">
        <is>
          <t>S261</t>
        </is>
      </c>
      <c r="B22" s="8" t="inlineStr">
        <is>
          <t>different sentences</t>
        </is>
      </c>
      <c r="C22" s="8" t="inlineStr">
        <is>
          <t>the month is only half over and i have 800 rupees left. I did the maths three times hoping the number would change. The mess bill alone is 1500 and i still have to buy a charger. I opened the notes app and started a list of what to cut, but everything on it is something i need. my stomach hurts thinking about it, so stressed.</t>
        </is>
      </c>
      <c r="D22" s="8" t="inlineStr">
        <is>
          <t>my stomach hurts thinking about it</t>
        </is>
      </c>
      <c r="E22" s="8" t="inlineStr">
        <is>
          <t>fear</t>
        </is>
      </c>
      <c r="F22" s="9" t="n">
        <v>0.9525</v>
      </c>
      <c r="G22" s="9" t="n">
        <v>0.974</v>
      </c>
      <c r="H22" s="8" t="inlineStr">
        <is>
          <t>the month is only half over and i have 800 rupees left</t>
        </is>
      </c>
      <c r="I22" s="8" t="inlineStr">
        <is>
          <t>so stressed [stress]</t>
        </is>
      </c>
      <c r="J22" s="8" t="inlineStr">
        <is>
          <t>no overlap with gold</t>
        </is>
      </c>
      <c r="K22" s="10" t="inlineStr">
        <is>
          <t>restates a gold emotion</t>
        </is>
      </c>
      <c r="L22" s="10" t="n"/>
      <c r="M22" s="10" t="n"/>
      <c r="N22" s="10" t="inlineStr">
        <is>
          <t>Physical sign of the same money stress as the gold clause</t>
        </is>
      </c>
      <c r="O22" s="11" t="n"/>
      <c r="P22" s="11" t="n"/>
      <c r="Q22" s="11" t="n"/>
      <c r="R22" s="11" t="n"/>
    </row>
    <row r="23">
      <c r="A23" s="8" t="inlineStr">
        <is>
          <t>S011</t>
        </is>
      </c>
      <c r="B23" s="8" t="inlineStr">
        <is>
          <t>cause before emotion</t>
        </is>
      </c>
      <c r="C23" s="8" t="inlineStr">
        <is>
          <t>Our team won the inter-college quiz at COEP and I answered the last question. Proud of all of us, still smiling like an idiot. The final was between us and a team from the engineering college across the river, and it went down to a tiebreaker. We got a trophy and a voucher for a bookstore. We all took a group photo near the stage and then went for ice cream.</t>
        </is>
      </c>
      <c r="D23" s="8" t="inlineStr">
        <is>
          <t>smiling like an idiot</t>
        </is>
      </c>
      <c r="E23" s="8" t="inlineStr">
        <is>
          <t>joy</t>
        </is>
      </c>
      <c r="F23" s="9" t="n">
        <v>0.9514</v>
      </c>
      <c r="G23" s="9" t="n">
        <v>0.5606</v>
      </c>
      <c r="H23" s="8" t="inlineStr">
        <is>
          <t>Our team won the inter-college quiz at COEP and I answered the last question</t>
        </is>
      </c>
      <c r="I23" s="8" t="inlineStr">
        <is>
          <t>Proud of all of us [pride]</t>
        </is>
      </c>
      <c r="J23" s="8" t="inlineStr">
        <is>
          <t>no overlap with gold</t>
        </is>
      </c>
      <c r="K23" s="10" t="inlineStr">
        <is>
          <t>real emotion missed by labels</t>
        </is>
      </c>
      <c r="L23" s="10" t="inlineStr">
        <is>
          <t>joy</t>
        </is>
      </c>
      <c r="M23" s="10" t="inlineStr">
        <is>
          <t>Our team won the inter-college quiz at COEP and I answered the last question</t>
        </is>
      </c>
      <c r="N23" s="10" t="inlineStr">
        <is>
          <t>Separate energetic happiness alongside the gold pride</t>
        </is>
      </c>
      <c r="O23" s="11" t="n"/>
      <c r="P23" s="11" t="n"/>
      <c r="Q23" s="11" t="n"/>
      <c r="R23" s="11" t="n"/>
    </row>
    <row r="24">
      <c r="A24" s="8" t="inlineStr">
        <is>
          <t>S066</t>
        </is>
      </c>
      <c r="B24" s="8" t="inlineStr">
        <is>
          <t>two emotions, two causes</t>
        </is>
      </c>
      <c r="C24" s="8" t="inlineStr">
        <is>
          <t>Got the offer letter from TCS today and I could not stop smiling. I refreshed my mail like ten times to make sure it was real, and then I just walked around the hostel corridor showing everyone my phone. I called home and Maa was crying on the other end, which made me tear up too. We were so loud that the warden knocked on the door. But then, around evening, I realised I have to move to Pune in a month, away from everyone I know. I have never lived in a new city alone. I have to find a flat, learn the local trains and make new friends, and my stomach dropped. The following days will be paperwork, the bank account and the medical test. I made a list on my notes app and it already has 14 items. I tried to be excited but all I could think about was the empty seat next to me in the mess. Still, I do not regret anything, I just wish time would go slow. I finally put my phone on charge and stared at the ceiling for a long time. The fan was making its usual clicking noise and the corridor lights were already off. I opened my notes app again and added three more items to the list.</t>
        </is>
      </c>
      <c r="D24" s="8" t="inlineStr">
        <is>
          <t>tried to be excited</t>
        </is>
      </c>
      <c r="E24" s="8" t="inlineStr">
        <is>
          <t>joy</t>
        </is>
      </c>
      <c r="F24" s="9" t="n">
        <v>0.9513</v>
      </c>
      <c r="G24" s="9" t="n">
        <v>0.9952</v>
      </c>
      <c r="H24" s="8" t="inlineStr">
        <is>
          <t>Got the offer letter from TCS today</t>
        </is>
      </c>
      <c r="I24" s="8" t="inlineStr">
        <is>
          <t>I could not stop smiling [joy] | my stomach dropped [fear]</t>
        </is>
      </c>
      <c r="J24" s="8" t="inlineStr">
        <is>
          <t>no overlap with gold</t>
        </is>
      </c>
      <c r="K24" s="10" t="inlineStr">
        <is>
          <t>unsure</t>
        </is>
      </c>
      <c r="L24" s="10" t="n"/>
      <c r="M24" s="10" t="n"/>
      <c r="N24" s="10" t="inlineStr">
        <is>
          <t>'tried to be excited' signals sadness about leaving, not joy; the clearer sadness clause is 'all I could think about was the empty seat next to me in the mess'</t>
        </is>
      </c>
      <c r="O24" s="11" t="n"/>
      <c r="P24" s="11" t="n"/>
      <c r="Q24" s="11" t="n"/>
      <c r="R24" s="11" t="n"/>
    </row>
    <row r="25">
      <c r="A25" s="8" t="inlineStr">
        <is>
          <t>S175</t>
        </is>
      </c>
      <c r="B25" s="8" t="inlineStr">
        <is>
          <t>two emotions, two causes</t>
        </is>
      </c>
      <c r="C25" s="8" t="inlineStr">
        <is>
          <t>my phone rang at 2 am and it was an unknown number, my heart stopped. it turned out to be my cousin calling from abroad to say he reached safely. i was a little annoyed that he did not check the time.</t>
        </is>
      </c>
      <c r="D25" s="8" t="inlineStr">
        <is>
          <t>i was a little annoyed that he did not check the time</t>
        </is>
      </c>
      <c r="E25" s="8" t="inlineStr">
        <is>
          <t>anger</t>
        </is>
      </c>
      <c r="F25" s="9" t="n">
        <v>0.9492</v>
      </c>
      <c r="G25" s="9" t="n">
        <v>0.999</v>
      </c>
      <c r="H25" s="8" t="inlineStr">
        <is>
          <t>my phone rang at 2 am and it was an unknown number</t>
        </is>
      </c>
      <c r="I25" s="8" t="inlineStr">
        <is>
          <t>my heart stopped [fear] | i was a little annoyed [anger]</t>
        </is>
      </c>
      <c r="J25" s="8" t="inlineStr">
        <is>
          <t>partly overlaps a gold span</t>
        </is>
      </c>
      <c r="K25" s="10" t="inlineStr">
        <is>
          <t>boundary of a gold span</t>
        </is>
      </c>
      <c r="L25" s="10" t="n"/>
      <c r="M25" s="10" t="n"/>
      <c r="N25" s="10" t="inlineStr">
        <is>
          <t>Longer than gold; includes the cause</t>
        </is>
      </c>
      <c r="O25" s="11" t="n"/>
      <c r="P25" s="11" t="n"/>
      <c r="Q25" s="11" t="n"/>
      <c r="R25" s="11" t="n"/>
    </row>
    <row r="26">
      <c r="A26" s="8" t="inlineStr">
        <is>
          <t>S240</t>
        </is>
      </c>
      <c r="B26" s="8" t="inlineStr">
        <is>
          <t>cause before emotion</t>
        </is>
      </c>
      <c r="C26" s="8" t="inlineStr">
        <is>
          <t>the diet chart i got from the gym was totally wrong for me and i followed it for a week. so irritated that i trusted it blindly.</t>
        </is>
      </c>
      <c r="D26" s="8" t="inlineStr">
        <is>
          <t>so irritated that</t>
        </is>
      </c>
      <c r="E26" s="8" t="inlineStr">
        <is>
          <t>anger</t>
        </is>
      </c>
      <c r="F26" s="9" t="n">
        <v>0.9445</v>
      </c>
      <c r="G26" s="9" t="n">
        <v>0.9998</v>
      </c>
      <c r="H26" s="8" t="inlineStr">
        <is>
          <t>the diet chart i got from the gym was totally wrong for me and i followed it for a week</t>
        </is>
      </c>
      <c r="I26" s="8" t="inlineStr">
        <is>
          <t>so irritated that i trusted it blindly [anger]</t>
        </is>
      </c>
      <c r="J26" s="8" t="inlineStr">
        <is>
          <t>partly overlaps a gold span</t>
        </is>
      </c>
      <c r="K26" s="10" t="inlineStr">
        <is>
          <t>boundary of a gold span</t>
        </is>
      </c>
      <c r="L26" s="10" t="n"/>
      <c r="M26" s="10" t="n"/>
      <c r="N26" s="10" t="inlineStr">
        <is>
          <t>Fragment of the gold span</t>
        </is>
      </c>
      <c r="O26" s="11" t="n"/>
      <c r="P26" s="11" t="n"/>
      <c r="Q26" s="11" t="n"/>
      <c r="R26" s="11" t="n"/>
    </row>
    <row r="27">
      <c r="A27" s="8" t="inlineStr">
        <is>
          <t>S172</t>
        </is>
      </c>
      <c r="B27" s="8" t="inlineStr">
        <is>
          <t>two emotions, two causes</t>
        </is>
      </c>
      <c r="C27" s="8" t="inlineStr">
        <is>
          <t>the rent got increased by 3000 and my flatmates wanted to split it equally even though i have the smallest room. i was so angry i kept quiet. later the owner called and said he will reduce it by 1000 for me, i was surprised and a little grateful.</t>
        </is>
      </c>
      <c r="D27" s="8" t="inlineStr">
        <is>
          <t>i was surprised</t>
        </is>
      </c>
      <c r="E27" s="8" t="inlineStr">
        <is>
          <t>surprise</t>
        </is>
      </c>
      <c r="F27" s="9" t="n">
        <v>0.9444</v>
      </c>
      <c r="G27" s="9" t="n">
        <v>0.9705</v>
      </c>
      <c r="H27" s="8" t="inlineStr">
        <is>
          <t>the owner called and said he will reduce it by 1000 for me</t>
        </is>
      </c>
      <c r="I27" s="8" t="inlineStr">
        <is>
          <t>i was so angry i kept quiet [anger] | i was surprised and a little grateful [surprise]</t>
        </is>
      </c>
      <c r="J27" s="8" t="inlineStr">
        <is>
          <t>partly overlaps a gold span</t>
        </is>
      </c>
      <c r="K27" s="10" t="inlineStr">
        <is>
          <t>boundary of a gold span</t>
        </is>
      </c>
      <c r="L27" s="10" t="n"/>
      <c r="M27" s="10" t="n"/>
      <c r="N27" s="10" t="inlineStr">
        <is>
          <t>Shorter version of the gold span</t>
        </is>
      </c>
      <c r="O27" s="11" t="n"/>
      <c r="P27" s="11" t="n"/>
      <c r="Q27" s="11" t="n"/>
      <c r="R27" s="11" t="n"/>
    </row>
    <row r="28">
      <c r="A28" s="8" t="inlineStr">
        <is>
          <t>S048</t>
        </is>
      </c>
      <c r="B28" s="8" t="inlineStr">
        <is>
          <t>different sentences</t>
        </is>
      </c>
      <c r="C28" s="8" t="inlineStr">
        <is>
          <t>The paper turned out to be much easier than I expected. I walked out of the exam hall so surprised, finally some good news. Everyone else was complaining but I had actually revised the right units this time. I checked my answers once more during the last half hour and still had time to draw the diagram neatly. After the paper I met my group near the vending machine and compared the answers to the long questions. Two of us had written the same formula and one had written something completely different. We all had a plate of fried rice at the canteen and then went back to the hostel to sleep.</t>
        </is>
      </c>
      <c r="D28" s="8" t="inlineStr">
        <is>
          <t>so surprised</t>
        </is>
      </c>
      <c r="E28" s="8" t="inlineStr">
        <is>
          <t>surprise</t>
        </is>
      </c>
      <c r="F28" s="9" t="n">
        <v>0.9414</v>
      </c>
      <c r="G28" s="9" t="n">
        <v>0.9992</v>
      </c>
      <c r="H28" s="8" t="inlineStr">
        <is>
          <t>the exam hall</t>
        </is>
      </c>
      <c r="I28" s="8" t="inlineStr">
        <is>
          <t>I walked out of the exam hall so surprised [surprise]</t>
        </is>
      </c>
      <c r="J28" s="8" t="inlineStr">
        <is>
          <t>partly overlaps a gold span</t>
        </is>
      </c>
      <c r="K28" s="10" t="inlineStr">
        <is>
          <t>boundary of a gold span</t>
        </is>
      </c>
      <c r="L28" s="10" t="n"/>
      <c r="M28" s="10" t="n"/>
      <c r="N28" s="10" t="inlineStr">
        <is>
          <t>Shorter version of the gold span</t>
        </is>
      </c>
      <c r="O28" s="11" t="n"/>
      <c r="P28" s="11" t="n"/>
      <c r="Q28" s="11" t="n"/>
      <c r="R28" s="11" t="n"/>
    </row>
    <row r="29">
      <c r="A29" s="8" t="inlineStr">
        <is>
          <t>S227</t>
        </is>
      </c>
      <c r="B29" s="8" t="inlineStr">
        <is>
          <t>cause before emotion</t>
        </is>
      </c>
      <c r="C29" s="8" t="inlineStr">
        <is>
          <t>Kabir and I cooked together for the first time and the pasta was a bit salty but we ate it all anyway. We sat on the kitchen floor with two spoons. It felt so natural, so calm. We chopped the onions together and he cried more than i did. The pan was too small so some of the pasta fell onto the stove. We laughed about it and wiped it up with a paper towel. The kitchen smelled of garlic for the rest of the evening.</t>
        </is>
      </c>
      <c r="D29" s="8" t="inlineStr">
        <is>
          <t>so calm</t>
        </is>
      </c>
      <c r="E29" s="8" t="inlineStr">
        <is>
          <t>contentment</t>
        </is>
      </c>
      <c r="F29" s="9" t="n">
        <v>0.9381</v>
      </c>
      <c r="G29" s="9" t="n">
        <v>0.9999</v>
      </c>
      <c r="H29" s="8" t="inlineStr">
        <is>
          <t>Kabir and I cooked together for the first time</t>
        </is>
      </c>
      <c r="I29" s="8" t="inlineStr">
        <is>
          <t>It felt so natural, so calm [contentment]</t>
        </is>
      </c>
      <c r="J29" s="8" t="inlineStr">
        <is>
          <t>partly overlaps a gold span</t>
        </is>
      </c>
      <c r="K29" s="10" t="inlineStr">
        <is>
          <t>boundary of a gold span</t>
        </is>
      </c>
      <c r="L29" s="10" t="n"/>
      <c r="M29" s="10" t="n"/>
      <c r="N29" s="10" t="inlineStr">
        <is>
          <t>Shorter version of the gold span</t>
        </is>
      </c>
      <c r="O29" s="11" t="n"/>
      <c r="P29" s="11" t="n"/>
      <c r="Q29" s="11" t="n"/>
      <c r="R29" s="11" t="n"/>
    </row>
    <row r="30">
      <c r="A30" s="8" t="inlineStr">
        <is>
          <t>S214</t>
        </is>
      </c>
      <c r="B30" s="8" t="inlineStr">
        <is>
          <t>cause before emotion</t>
        </is>
      </c>
      <c r="C30" s="8" t="inlineStr">
        <is>
          <t>Our startup pitch at the Pune hackathon got picked for the final round out of 60 teams. We had stayed up for two nights building the prototype and the demo broke twice during the practice run. When our team name was called from the stage, all four of us just froze and then started screaming at the same time. I have never felt this kind of adrenaline before, it is such a rush, i am so happy i cannot even type properly.</t>
        </is>
      </c>
      <c r="D30" s="8" t="inlineStr">
        <is>
          <t>i am so happy</t>
        </is>
      </c>
      <c r="E30" s="8" t="inlineStr">
        <is>
          <t>joy</t>
        </is>
      </c>
      <c r="F30" s="9" t="n">
        <v>0.9357</v>
      </c>
      <c r="G30" s="9" t="n">
        <v>0.9993</v>
      </c>
      <c r="H30" s="8" t="inlineStr">
        <is>
          <t>Our startup pitch at the Pune hackathon got picked for the final round out of 60 teams</t>
        </is>
      </c>
      <c r="I30" s="8" t="inlineStr">
        <is>
          <t>i am so happy i cannot even type properly [joy]</t>
        </is>
      </c>
      <c r="J30" s="8" t="inlineStr">
        <is>
          <t>partly overlaps a gold span</t>
        </is>
      </c>
      <c r="K30" s="10" t="inlineStr">
        <is>
          <t>boundary of a gold span</t>
        </is>
      </c>
      <c r="L30" s="10" t="n"/>
      <c r="M30" s="10" t="n"/>
      <c r="N30" s="10" t="inlineStr">
        <is>
          <t>Shorter version of the gold span</t>
        </is>
      </c>
      <c r="O30" s="11" t="n"/>
      <c r="P30" s="11" t="n"/>
      <c r="Q30" s="11" t="n"/>
      <c r="R30" s="11" t="n"/>
    </row>
    <row r="31">
      <c r="A31" s="8" t="inlineStr">
        <is>
          <t>S135</t>
        </is>
      </c>
      <c r="B31" s="8" t="inlineStr">
        <is>
          <t>different sentences</t>
        </is>
      </c>
      <c r="C31" s="8" t="inlineStr">
        <is>
          <t>my scholarship got renewed for another year and the mail came at 5pm. i read it standing in the corridor three times. i am genuinely so happy i called home from the staircase. I took a screenshot and sent it to my parents. The reply was a long list of thumbs up and a photo of the sweet box that they had opened. After that i went back to the lab and did the pending reading. The rest of the day passed in a blur of small things. i also filled the form for the next installment and uploaded the documents one by one. The upload page kept timing out so it took forty minutes in total.</t>
        </is>
      </c>
      <c r="D31" s="8" t="inlineStr">
        <is>
          <t>i am genuinely so happy i called home from the staircase</t>
        </is>
      </c>
      <c r="E31" s="8" t="inlineStr">
        <is>
          <t>joy</t>
        </is>
      </c>
      <c r="F31" s="9" t="n">
        <v>0.9351</v>
      </c>
      <c r="G31" s="9" t="n">
        <v>0.9985000000000001</v>
      </c>
      <c r="H31" s="8" t="inlineStr">
        <is>
          <t>my scholarship got renewed for another year and the mail came at 5pm</t>
        </is>
      </c>
      <c r="I31" s="8" t="inlineStr">
        <is>
          <t>i am genuinely so happy [joy]</t>
        </is>
      </c>
      <c r="J31" s="8" t="inlineStr">
        <is>
          <t>partly overlaps a gold span</t>
        </is>
      </c>
      <c r="K31" s="10" t="inlineStr">
        <is>
          <t>boundary of a gold span</t>
        </is>
      </c>
      <c r="L31" s="10" t="n"/>
      <c r="M31" s="10" t="n"/>
      <c r="N31" s="10" t="inlineStr">
        <is>
          <t>Longer than gold; includes the action that followed</t>
        </is>
      </c>
      <c r="O31" s="11" t="n"/>
      <c r="P31" s="11" t="n"/>
      <c r="Q31" s="11" t="n"/>
      <c r="R31" s="11" t="n"/>
    </row>
    <row r="32">
      <c r="A32" s="8" t="inlineStr">
        <is>
          <t>S066</t>
        </is>
      </c>
      <c r="B32" s="8" t="inlineStr">
        <is>
          <t>two emotions, two causes</t>
        </is>
      </c>
      <c r="C32" s="8" t="inlineStr">
        <is>
          <t>Got the offer letter from TCS today and I could not stop smiling. I refreshed my mail like ten times to make sure it was real, and then I just walked around the hostel corridor showing everyone my phone. I called home and Maa was crying on the other end, which made me tear up too. We were so loud that the warden knocked on the door. But then, around evening, I realised I have to move to Pune in a month, away from everyone I know. I have never lived in a new city alone. I have to find a flat, learn the local trains and make new friends, and my stomach dropped. The following days will be paperwork, the bank account and the medical test. I made a list on my notes app and it already has 14 items. I tried to be excited but all I could think about was the empty seat next to me in the mess. Still, I do not regret anything, I just wish time would go slow. I finally put my phone on charge and stared at the ceiling for a long time. The fan was making its usual clicking noise and the corridor lights were already off. I opened my notes app again and added three more items to the list.</t>
        </is>
      </c>
      <c r="D32" s="8" t="inlineStr">
        <is>
          <t>made me tear up too</t>
        </is>
      </c>
      <c r="E32" s="8" t="inlineStr">
        <is>
          <t>sadness</t>
        </is>
      </c>
      <c r="F32" s="9" t="n">
        <v>0.9295</v>
      </c>
      <c r="G32" s="9" t="n">
        <v>0.9407</v>
      </c>
      <c r="H32" s="8" t="inlineStr">
        <is>
          <t>I have to move to Pune in a month, away from everyone I know</t>
        </is>
      </c>
      <c r="I32" s="8" t="inlineStr">
        <is>
          <t>I could not stop smiling [joy] | my stomach dropped [fear]</t>
        </is>
      </c>
      <c r="J32" s="8" t="inlineStr">
        <is>
          <t>no overlap with gold</t>
        </is>
      </c>
      <c r="K32" s="10" t="inlineStr">
        <is>
          <t>real emotion missed by labels</t>
        </is>
      </c>
      <c r="L32" s="10" t="inlineStr">
        <is>
          <t>joy</t>
        </is>
      </c>
      <c r="M32" s="10" t="inlineStr">
        <is>
          <t>Maa was crying on the other end</t>
        </is>
      </c>
      <c r="N32" s="10" t="inlineStr">
        <is>
          <t>Happy tears on hearing Maa; separate from the gold joy about the offer</t>
        </is>
      </c>
      <c r="O32" s="11" t="n"/>
      <c r="P32" s="11" t="n"/>
      <c r="Q32" s="11" t="n"/>
      <c r="R32" s="11" t="n"/>
    </row>
    <row r="33">
      <c r="A33" s="8" t="inlineStr">
        <is>
          <t>S160</t>
        </is>
      </c>
      <c r="B33" s="8" t="inlineStr">
        <is>
          <t>implicit cause</t>
        </is>
      </c>
      <c r="C33" s="8" t="inlineStr">
        <is>
          <t>such a strangely peaceful day. no idea why but i feel calm.</t>
        </is>
      </c>
      <c r="D33" s="8" t="inlineStr">
        <is>
          <t>such a strangely peaceful day</t>
        </is>
      </c>
      <c r="E33" s="8" t="inlineStr">
        <is>
          <t>contentment</t>
        </is>
      </c>
      <c r="F33" s="9" t="n">
        <v>0.9131</v>
      </c>
      <c r="G33" s="9" t="n">
        <v>0.8441</v>
      </c>
      <c r="H33" s="8" t="inlineStr">
        <is>
          <t>(implicit)</t>
        </is>
      </c>
      <c r="I33" s="8" t="inlineStr">
        <is>
          <t>i feel calm [contentment]</t>
        </is>
      </c>
      <c r="J33" s="8" t="inlineStr">
        <is>
          <t>no overlap with gold</t>
        </is>
      </c>
      <c r="K33" s="10" t="inlineStr">
        <is>
          <t>restates a gold emotion</t>
        </is>
      </c>
      <c r="L33" s="10" t="n"/>
      <c r="M33" s="10" t="n"/>
      <c r="N33" s="10" t="inlineStr">
        <is>
          <t>Same calm as gold 'i feel calm'</t>
        </is>
      </c>
      <c r="O33" s="11" t="n"/>
      <c r="P33" s="11" t="n"/>
      <c r="Q33" s="11" t="n"/>
      <c r="R33" s="11" t="n"/>
    </row>
    <row r="34">
      <c r="A34" s="8" t="inlineStr">
        <is>
          <t>S229</t>
        </is>
      </c>
      <c r="B34" s="8" t="inlineStr">
        <is>
          <t>cause before emotion</t>
        </is>
      </c>
      <c r="C34" s="8" t="inlineStr">
        <is>
          <t>The water supply in our building stopped on saturday and has not come back. We have been filling buckets from the tap near the bus stand and carrying them up four floors. My clothes are piling up and i have not showered properly in two days. The society message says the tanker will come on monday, but the last time it took a full week. I feel stuck and sweaty and so stressed about the presentation i have to give with unwashed hair.</t>
        </is>
      </c>
      <c r="D34" s="8" t="inlineStr">
        <is>
          <t>I feel stuck and sweaty</t>
        </is>
      </c>
      <c r="E34" s="8" t="inlineStr">
        <is>
          <t>stress</t>
        </is>
      </c>
      <c r="F34" s="9" t="n">
        <v>0.9129</v>
      </c>
      <c r="G34" s="9" t="n">
        <v>0.9267</v>
      </c>
      <c r="H34" s="8" t="inlineStr">
        <is>
          <t>The water supply in our building stopped on saturday and has not come back</t>
        </is>
      </c>
      <c r="I34" s="8" t="inlineStr">
        <is>
          <t>so stressed about the presentation i have to give with unwashed hair [stress]</t>
        </is>
      </c>
      <c r="J34" s="8" t="inlineStr">
        <is>
          <t>no overlap with gold</t>
        </is>
      </c>
      <c r="K34" s="10" t="inlineStr">
        <is>
          <t>real emotion missed by labels</t>
        </is>
      </c>
      <c r="L34" s="10" t="inlineStr">
        <is>
          <t>stress</t>
        </is>
      </c>
      <c r="M34" s="10" t="inlineStr">
        <is>
          <t>The water supply in our building stopped on saturday and has not come back</t>
        </is>
      </c>
      <c r="N34" s="10" t="inlineStr">
        <is>
          <t>Feeling stuck is about the water problem, a different cause from the gold presentation stress</t>
        </is>
      </c>
      <c r="O34" s="11" t="n"/>
      <c r="P34" s="11" t="n"/>
      <c r="Q34" s="11" t="n"/>
      <c r="R34" s="11" t="n"/>
    </row>
    <row r="35">
      <c r="A35" s="8" t="inlineStr">
        <is>
          <t>S057</t>
        </is>
      </c>
      <c r="B35" s="8" t="inlineStr">
        <is>
          <t>implicit cause</t>
        </is>
      </c>
      <c r="C35" s="8" t="inlineStr">
        <is>
          <t>Kind of a quiet day. Did my usual stuff. I feel okay, nothing to complain about really. Had dal chawal for lunch and talked to a couple of people in the corridor. Watched one episode before sleeping.</t>
        </is>
      </c>
      <c r="D35" s="8" t="inlineStr">
        <is>
          <t>I feel okay</t>
        </is>
      </c>
      <c r="E35" s="8" t="inlineStr">
        <is>
          <t>contentment</t>
        </is>
      </c>
      <c r="F35" s="9" t="n">
        <v>0.9086</v>
      </c>
      <c r="G35" s="9" t="n">
        <v>0.9899</v>
      </c>
      <c r="H35" s="8" t="inlineStr">
        <is>
          <t>(implicit)</t>
        </is>
      </c>
      <c r="I35" s="8" t="inlineStr">
        <is>
          <t>I feel okay, nothing to complain about really [contentment]</t>
        </is>
      </c>
      <c r="J35" s="8" t="inlineStr">
        <is>
          <t>partly overlaps a gold span</t>
        </is>
      </c>
      <c r="K35" s="10" t="inlineStr">
        <is>
          <t>boundary of a gold span</t>
        </is>
      </c>
      <c r="L35" s="10" t="n"/>
      <c r="M35" s="10" t="n"/>
      <c r="N35" s="10" t="inlineStr">
        <is>
          <t>Shorter version of the gold span</t>
        </is>
      </c>
      <c r="O35" s="11" t="n"/>
      <c r="P35" s="11" t="n"/>
      <c r="Q35" s="11" t="n"/>
      <c r="R35" s="11" t="n"/>
    </row>
    <row r="36">
      <c r="A36" s="8" t="inlineStr">
        <is>
          <t>S219</t>
        </is>
      </c>
      <c r="B36" s="8" t="inlineStr">
        <is>
          <t>cause before emotion</t>
        </is>
      </c>
      <c r="C36" s="8" t="inlineStr">
        <is>
          <t>found a 500 note in my old jeans pocket while doing laundry. sooo happy lol, it made my whole day.</t>
        </is>
      </c>
      <c r="D36" s="8" t="inlineStr">
        <is>
          <t>it made my whole day</t>
        </is>
      </c>
      <c r="E36" s="8" t="inlineStr">
        <is>
          <t>joy</t>
        </is>
      </c>
      <c r="F36" s="9" t="n">
        <v>0.9074</v>
      </c>
      <c r="G36" s="9" t="n">
        <v>0.9964</v>
      </c>
      <c r="H36" s="8" t="inlineStr">
        <is>
          <t>found a 500 note in my old jeans pocket while doing laundry</t>
        </is>
      </c>
      <c r="I36" s="8" t="inlineStr">
        <is>
          <t>sooo happy lol [joy]</t>
        </is>
      </c>
      <c r="J36" s="8" t="inlineStr">
        <is>
          <t>no overlap with gold</t>
        </is>
      </c>
      <c r="K36" s="10" t="inlineStr">
        <is>
          <t>restates a gold emotion</t>
        </is>
      </c>
      <c r="L36" s="10" t="n"/>
      <c r="M36" s="10" t="n"/>
      <c r="N36" s="10" t="inlineStr">
        <is>
          <t>Same joy as gold 'sooo happy lol'</t>
        </is>
      </c>
      <c r="O36" s="11" t="n"/>
      <c r="P36" s="11" t="n"/>
      <c r="Q36" s="11" t="n"/>
      <c r="R36" s="11" t="n"/>
    </row>
    <row r="37">
      <c r="A37" s="8" t="inlineStr">
        <is>
          <t>S267</t>
        </is>
      </c>
      <c r="B37" s="8" t="inlineStr">
        <is>
          <t>different sentences</t>
        </is>
      </c>
      <c r="C37" s="8" t="inlineStr">
        <is>
          <t>The placement cell announced the aptitude test for Wipro on thursday. I have not touched quantitative aptitude since first year and the syllabus is huge. I opened a practice paper and got three out of twenty right. my palms are sweaty and i keep checking the clock, really scared i will fail.</t>
        </is>
      </c>
      <c r="D37" s="8" t="inlineStr">
        <is>
          <t>my palms are sweaty</t>
        </is>
      </c>
      <c r="E37" s="8" t="inlineStr">
        <is>
          <t>stress</t>
        </is>
      </c>
      <c r="F37" s="9" t="n">
        <v>0.8992</v>
      </c>
      <c r="G37" s="9" t="n">
        <v>0.8914</v>
      </c>
      <c r="H37" s="8" t="inlineStr">
        <is>
          <t>The placement cell announced the aptitude test for Wipro on thursday</t>
        </is>
      </c>
      <c r="I37" s="8" t="inlineStr">
        <is>
          <t>really scared i will fail [fear]</t>
        </is>
      </c>
      <c r="J37" s="8" t="inlineStr">
        <is>
          <t>no overlap with gold</t>
        </is>
      </c>
      <c r="K37" s="10" t="inlineStr">
        <is>
          <t>restates a gold emotion</t>
        </is>
      </c>
      <c r="L37" s="10" t="n"/>
      <c r="M37" s="10" t="n"/>
      <c r="N37" s="10" t="inlineStr">
        <is>
          <t>Physical sign of the gold fear about the test</t>
        </is>
      </c>
      <c r="O37" s="11" t="n"/>
      <c r="P37" s="11" t="n"/>
      <c r="Q37" s="11" t="n"/>
      <c r="R37" s="11" t="n"/>
    </row>
    <row r="38">
      <c r="A38" s="8" t="inlineStr">
        <is>
          <t>S215</t>
        </is>
      </c>
      <c r="B38" s="8" t="inlineStr">
        <is>
          <t>cause before emotion</t>
        </is>
      </c>
      <c r="C38" s="8" t="inlineStr">
        <is>
          <t>the printer jammed 5 mins before the submission deadline and the queue behind me kept growing. so stressed, my hands were shaking.</t>
        </is>
      </c>
      <c r="D38" s="8" t="inlineStr">
        <is>
          <t>my hands were shaking</t>
        </is>
      </c>
      <c r="E38" s="8" t="inlineStr">
        <is>
          <t>stress</t>
        </is>
      </c>
      <c r="F38" s="9" t="n">
        <v>0.8925</v>
      </c>
      <c r="G38" s="9" t="n">
        <v>0.9446</v>
      </c>
      <c r="H38" s="8" t="inlineStr">
        <is>
          <t>the printer jammed 5 mins before the submission deadline and the queue behind me kept growing</t>
        </is>
      </c>
      <c r="I38" s="8" t="inlineStr">
        <is>
          <t>so stressed [stress]</t>
        </is>
      </c>
      <c r="J38" s="8" t="inlineStr">
        <is>
          <t>no overlap with gold</t>
        </is>
      </c>
      <c r="K38" s="10" t="inlineStr">
        <is>
          <t>restates a gold emotion</t>
        </is>
      </c>
      <c r="L38" s="10" t="n"/>
      <c r="M38" s="10" t="n"/>
      <c r="N38" s="10" t="inlineStr">
        <is>
          <t>Physical sign of the gold stress</t>
        </is>
      </c>
      <c r="O38" s="11" t="n"/>
      <c r="P38" s="11" t="n"/>
      <c r="Q38" s="11" t="n"/>
      <c r="R38" s="11" t="n"/>
    </row>
    <row r="39">
      <c r="A39" s="8" t="inlineStr">
        <is>
          <t>S300</t>
        </is>
      </c>
      <c r="B39" s="8" t="inlineStr">
        <is>
          <t>two emotions, two causes</t>
        </is>
      </c>
      <c r="C39" s="8" t="inlineStr">
        <is>
          <t>Our flight to Jaipur got upgraded to business class for no reason and I was so surprised I kept looking at the boarding pass. Then at the gate I realised my laptop charger was in the checked bag and the presentation was in two hours, and I got really stressed. The gate area was crowded and my seat was in the third row. A man next to me kept asking about the baggage rules. I opened the laptop bag and found only the cables and a notebook, and i went through every pocket twice.</t>
        </is>
      </c>
      <c r="D39" s="8" t="inlineStr">
        <is>
          <t>I was so surprised I kept looking at the boarding pass</t>
        </is>
      </c>
      <c r="E39" s="8" t="inlineStr">
        <is>
          <t>surprise</t>
        </is>
      </c>
      <c r="F39" s="9" t="n">
        <v>0.8879</v>
      </c>
      <c r="G39" s="9" t="n">
        <v>0.9905</v>
      </c>
      <c r="H39" s="8" t="inlineStr">
        <is>
          <t>Our flight to Jaipur got upgraded to business class for no reason</t>
        </is>
      </c>
      <c r="I39" s="8" t="inlineStr">
        <is>
          <t>I was so surprised [surprise] | I got really stressed [stress]</t>
        </is>
      </c>
      <c r="J39" s="8" t="inlineStr">
        <is>
          <t>partly overlaps a gold span</t>
        </is>
      </c>
      <c r="K39" s="10" t="inlineStr">
        <is>
          <t>boundary of a gold span</t>
        </is>
      </c>
      <c r="L39" s="10" t="n"/>
      <c r="M39" s="10" t="n"/>
      <c r="N39" s="10" t="inlineStr">
        <is>
          <t>Longer than gold; includes the action that followed</t>
        </is>
      </c>
      <c r="O39" s="11" t="n"/>
      <c r="P39" s="11" t="n"/>
      <c r="Q39" s="11" t="n"/>
      <c r="R39" s="11" t="n"/>
    </row>
    <row r="40">
      <c r="A40" s="8" t="inlineStr">
        <is>
          <t>S047</t>
        </is>
      </c>
      <c r="B40" s="8" t="inlineStr">
        <is>
          <t>different sentences</t>
        </is>
      </c>
      <c r="C40" s="8" t="inlineStr">
        <is>
          <t>Aunty from the next flat sent food for all of us. There was kheer too, I have not had it since I left home. Eyes literally teared up, I was so thankful.</t>
        </is>
      </c>
      <c r="D40" s="8" t="inlineStr">
        <is>
          <t>Eyes literally teared up</t>
        </is>
      </c>
      <c r="E40" s="8" t="inlineStr">
        <is>
          <t>fear</t>
        </is>
      </c>
      <c r="F40" s="9" t="n">
        <v>0.8836000000000001</v>
      </c>
      <c r="G40" s="9" t="n">
        <v>0.9776</v>
      </c>
      <c r="H40" s="8" t="inlineStr">
        <is>
          <t>Aunty from the next flat sent food for all of us</t>
        </is>
      </c>
      <c r="I40" s="8" t="inlineStr">
        <is>
          <t>I was so thankful [gratitude]</t>
        </is>
      </c>
      <c r="J40" s="8" t="inlineStr">
        <is>
          <t>no overlap with gold</t>
        </is>
      </c>
      <c r="K40" s="10" t="inlineStr">
        <is>
          <t>restates a gold emotion</t>
        </is>
      </c>
      <c r="L40" s="10" t="n"/>
      <c r="M40" s="10" t="n"/>
      <c r="N40" s="10" t="inlineStr">
        <is>
          <t>Tears of gratitude, same as the gold clause (model's emotion 'fear' is wrong)</t>
        </is>
      </c>
      <c r="O40" s="11" t="n"/>
      <c r="P40" s="11" t="n"/>
      <c r="Q40" s="11" t="n"/>
      <c r="R40" s="11" t="n"/>
    </row>
    <row r="41">
      <c r="A41" s="8" t="inlineStr">
        <is>
          <t>S028</t>
        </is>
      </c>
      <c r="B41" s="8" t="inlineStr">
        <is>
          <t>cause after emotion</t>
        </is>
      </c>
      <c r="C41" s="8" t="inlineStr">
        <is>
          <t>I am nervous about tomorrow since the interview is with the CTO himself. I have prepared my answers three times already and I still feel like I will blank out. Need to sleep early.</t>
        </is>
      </c>
      <c r="D41" s="8" t="inlineStr">
        <is>
          <t>feel like I will blank out</t>
        </is>
      </c>
      <c r="E41" s="8" t="inlineStr">
        <is>
          <t>fear</t>
        </is>
      </c>
      <c r="F41" s="9" t="n">
        <v>0.882</v>
      </c>
      <c r="G41" s="9" t="n">
        <v>0.9061</v>
      </c>
      <c r="H41" s="8" t="inlineStr">
        <is>
          <t>the interview is with the CTO himself</t>
        </is>
      </c>
      <c r="I41" s="8" t="inlineStr">
        <is>
          <t>I am nervous about tomorrow [fear]</t>
        </is>
      </c>
      <c r="J41" s="8" t="inlineStr">
        <is>
          <t>no overlap with gold</t>
        </is>
      </c>
      <c r="K41" s="10" t="inlineStr">
        <is>
          <t>restates a gold emotion</t>
        </is>
      </c>
      <c r="L41" s="10" t="n"/>
      <c r="M41" s="10" t="n"/>
      <c r="N41" s="10" t="inlineStr">
        <is>
          <t>Same interview fear as the gold clause</t>
        </is>
      </c>
      <c r="O41" s="11" t="n"/>
      <c r="P41" s="11" t="n"/>
      <c r="Q41" s="11" t="n"/>
      <c r="R41" s="11" t="n"/>
    </row>
    <row r="42">
      <c r="A42" s="8" t="inlineStr">
        <is>
          <t>S187</t>
        </is>
      </c>
      <c r="B42" s="8" t="inlineStr">
        <is>
          <t>one cause, two emotions</t>
        </is>
      </c>
      <c r="C42" s="8" t="inlineStr">
        <is>
          <t>she sent me a long voice note saying she misses me. i smiled like a fool and also felt a pang of guilt that i have been too busy to reply. I typed a long reply and deleted it twice, then sent a short one. Put the phone on the table and drank some water.</t>
        </is>
      </c>
      <c r="D42" s="8" t="inlineStr">
        <is>
          <t>felt a pang of guilt that i have been too busy to reply</t>
        </is>
      </c>
      <c r="E42" s="8" t="inlineStr">
        <is>
          <t>guilt</t>
        </is>
      </c>
      <c r="F42" s="9" t="n">
        <v>0.8803</v>
      </c>
      <c r="G42" s="9" t="n">
        <v>0.9864000000000001</v>
      </c>
      <c r="H42" s="8" t="inlineStr">
        <is>
          <t>she sent me a long voice note saying she misses me</t>
        </is>
      </c>
      <c r="I42" s="8" t="inlineStr">
        <is>
          <t>i smiled like a fool [joy] | felt a pang of guilt [guilt]</t>
        </is>
      </c>
      <c r="J42" s="8" t="inlineStr">
        <is>
          <t>partly overlaps a gold span</t>
        </is>
      </c>
      <c r="K42" s="10" t="inlineStr">
        <is>
          <t>boundary of a gold span</t>
        </is>
      </c>
      <c r="L42" s="10" t="n"/>
      <c r="M42" s="10" t="n"/>
      <c r="N42" s="10" t="inlineStr">
        <is>
          <t>Longer than gold; includes the cause</t>
        </is>
      </c>
      <c r="O42" s="11" t="n"/>
      <c r="P42" s="11" t="n"/>
      <c r="Q42" s="11" t="n"/>
      <c r="R42" s="11" t="n"/>
    </row>
    <row r="43">
      <c r="A43" s="8" t="inlineStr">
        <is>
          <t>S324</t>
        </is>
      </c>
      <c r="B43" s="8" t="inlineStr">
        <is>
          <t>two emotions, two causes</t>
        </is>
      </c>
      <c r="C43" s="8" t="inlineStr">
        <is>
          <t>I completed my 30 day workout streak without missing a day and felt so proud i posted it on my story. A week later my knee gave up and the scan said no running for a month. I just stared at my shoes and felt miserable.</t>
        </is>
      </c>
      <c r="D43" s="8" t="inlineStr">
        <is>
          <t>felt so proud</t>
        </is>
      </c>
      <c r="E43" s="8" t="inlineStr">
        <is>
          <t>pride</t>
        </is>
      </c>
      <c r="F43" s="9" t="n">
        <v>0.8736</v>
      </c>
      <c r="G43" s="9" t="n">
        <v>0.9994</v>
      </c>
      <c r="H43" s="8" t="inlineStr">
        <is>
          <t>I completed my 30 day workout streak without missing a day</t>
        </is>
      </c>
      <c r="I43" s="8" t="inlineStr">
        <is>
          <t>felt so proud i posted it on my story [pride] | felt miserable [sadness]</t>
        </is>
      </c>
      <c r="J43" s="8" t="inlineStr">
        <is>
          <t>partly overlaps a gold span</t>
        </is>
      </c>
      <c r="K43" s="10" t="inlineStr">
        <is>
          <t>boundary of a gold span</t>
        </is>
      </c>
      <c r="L43" s="10" t="n"/>
      <c r="M43" s="10" t="n"/>
      <c r="N43" s="10" t="inlineStr">
        <is>
          <t>Shorter version of the gold span</t>
        </is>
      </c>
      <c r="O43" s="11" t="n"/>
      <c r="P43" s="11" t="n"/>
      <c r="Q43" s="11" t="n"/>
      <c r="R43" s="11" t="n"/>
    </row>
    <row r="44">
      <c r="A44" s="8" t="inlineStr">
        <is>
          <t>S213</t>
        </is>
      </c>
      <c r="B44" s="8" t="inlineStr">
        <is>
          <t>cause before emotion</t>
        </is>
      </c>
      <c r="C44" s="8" t="inlineStr">
        <is>
          <t>checked my account before buying lunch and there was an extra 2500 there. turns out the college had refunded the library deposit i forgot about. totally did not expect that, i did a small happy dance at the atm. The deposit was from the first week of first year and I had completely forgotten it existed. I opened the bank statement to confirm, and the line said library refund with a small reference number. I bought a proper lunch and also a cold coffee, which i never do. Then i put the rest of the money into the savings folder in the app.</t>
        </is>
      </c>
      <c r="D44" s="8" t="inlineStr">
        <is>
          <t>i did a small happy dance at the atm</t>
        </is>
      </c>
      <c r="E44" s="8" t="inlineStr">
        <is>
          <t>joy</t>
        </is>
      </c>
      <c r="F44" s="9" t="n">
        <v>0.8735000000000001</v>
      </c>
      <c r="G44" s="9" t="n">
        <v>0.9657</v>
      </c>
      <c r="H44" s="8" t="inlineStr">
        <is>
          <t>the college had refunded the library deposit i forgot about</t>
        </is>
      </c>
      <c r="I44" s="8" t="inlineStr">
        <is>
          <t>totally did not expect that [surprise]</t>
        </is>
      </c>
      <c r="J44" s="8" t="inlineStr">
        <is>
          <t>no overlap with gold</t>
        </is>
      </c>
      <c r="K44" s="10" t="inlineStr">
        <is>
          <t>real emotion missed by labels</t>
        </is>
      </c>
      <c r="L44" s="10" t="inlineStr">
        <is>
          <t>joy</t>
        </is>
      </c>
      <c r="M44" s="10" t="inlineStr">
        <is>
          <t>the college had refunded the library deposit i forgot about</t>
        </is>
      </c>
      <c r="N44" s="10" t="inlineStr">
        <is>
          <t>Happy dance is joy, separate from the gold surprise</t>
        </is>
      </c>
      <c r="O44" s="11" t="n"/>
      <c r="P44" s="11" t="n"/>
      <c r="Q44" s="11" t="n"/>
      <c r="R44" s="11" t="n"/>
    </row>
    <row r="45">
      <c r="A45" s="8" t="inlineStr">
        <is>
          <t>S077</t>
        </is>
      </c>
      <c r="B45" s="8" t="inlineStr">
        <is>
          <t>two emotions, two causes</t>
        </is>
      </c>
      <c r="C45" s="8" t="inlineStr">
        <is>
          <t>Mummy's surgery was today and the doctors said everything went well, I cried from relief. I had been sitting in the waiting area since 7 with Papa, and neither of us could eat anything. Every time the door opened my heart jumped. When the nurse finally came out and smiled, I just collapsed on the chair. Papa held my hand and did not say anything, he just kept nodding. I called my sister and she was screaming and crying at the same time on the phone. I am also so tired and stressed from running around the hospital since morning. There were forms to sign, medicines to buy from the other building and the billing counter was a mess. I have not eaten properly in two days and my feet are aching. But she is okay, that is what matters. I will sleep for a week after this. The hospital canteen ran out of tea by nine, so I had a packet of biscuits from the vending machine. Visiting hours ended at eight and we were allowed to stay only in the waiting area. A man at the next bench was reading a newspaper upside down and a child kept running up and down the corridor with a plastic bottle.</t>
        </is>
      </c>
      <c r="D45" s="8" t="inlineStr">
        <is>
          <t>so tired and stressed from running around the</t>
        </is>
      </c>
      <c r="E45" s="8" t="inlineStr">
        <is>
          <t>stress</t>
        </is>
      </c>
      <c r="F45" s="9" t="n">
        <v>0.8681</v>
      </c>
      <c r="G45" s="9" t="n">
        <v>0.9994</v>
      </c>
      <c r="H45" s="8" t="inlineStr">
        <is>
          <t>Mummy's surgery was today and the doctors said everything went well</t>
        </is>
      </c>
      <c r="I45" s="8" t="inlineStr">
        <is>
          <t>I cried from relief [joy] | so tired and stressed [stress]</t>
        </is>
      </c>
      <c r="J45" s="8" t="inlineStr">
        <is>
          <t>partly overlaps a gold span</t>
        </is>
      </c>
      <c r="K45" s="10" t="inlineStr">
        <is>
          <t>boundary of a gold span</t>
        </is>
      </c>
      <c r="L45" s="10" t="n"/>
      <c r="M45" s="10" t="n"/>
      <c r="N45" s="10" t="inlineStr">
        <is>
          <t>Longer than gold; runs into the cause</t>
        </is>
      </c>
      <c r="O45" s="11" t="n"/>
      <c r="P45" s="11" t="n"/>
      <c r="Q45" s="11" t="n"/>
      <c r="R45" s="11" t="n"/>
    </row>
    <row r="46">
      <c r="A46" s="8" t="inlineStr">
        <is>
          <t>S214</t>
        </is>
      </c>
      <c r="B46" s="8" t="inlineStr">
        <is>
          <t>cause before emotion</t>
        </is>
      </c>
      <c r="C46" s="8" t="inlineStr">
        <is>
          <t>Our startup pitch at the Pune hackathon got picked for the final round out of 60 teams. We had stayed up for two nights building the prototype and the demo broke twice during the practice run. When our team name was called from the stage, all four of us just froze and then started screaming at the same time. I have never felt this kind of adrenaline before, it is such a rush, i am so happy i cannot even type properly.</t>
        </is>
      </c>
      <c r="D46" s="8" t="inlineStr">
        <is>
          <t>it is such a rush</t>
        </is>
      </c>
      <c r="E46" s="8" t="inlineStr">
        <is>
          <t>joy</t>
        </is>
      </c>
      <c r="F46" s="9" t="n">
        <v>0.8659</v>
      </c>
      <c r="G46" s="9" t="n">
        <v>0.992</v>
      </c>
      <c r="H46" s="8" t="inlineStr">
        <is>
          <t>Our startup pitch at the Pune hackathon got picked for the final round out of 60 teams</t>
        </is>
      </c>
      <c r="I46" s="8" t="inlineStr">
        <is>
          <t>i am so happy i cannot even type properly [joy]</t>
        </is>
      </c>
      <c r="J46" s="8" t="inlineStr">
        <is>
          <t>no overlap with gold</t>
        </is>
      </c>
      <c r="K46" s="10" t="inlineStr">
        <is>
          <t>restates a gold emotion</t>
        </is>
      </c>
      <c r="L46" s="10" t="n"/>
      <c r="M46" s="10" t="n"/>
      <c r="N46" s="10" t="inlineStr">
        <is>
          <t>Same joy as the gold clause</t>
        </is>
      </c>
      <c r="O46" s="11" t="n"/>
      <c r="P46" s="11" t="n"/>
      <c r="Q46" s="11" t="n"/>
      <c r="R46" s="11" t="n"/>
    </row>
    <row r="47">
      <c r="A47" s="8" t="inlineStr">
        <is>
          <t>S273</t>
        </is>
      </c>
      <c r="B47" s="8" t="inlineStr">
        <is>
          <t>different sentences</t>
        </is>
      </c>
      <c r="C47" s="8" t="inlineStr">
        <is>
          <t>the group trip planning has turned into a mess. Five people want five different dates and nobody is paying the advance. I am the one chasing everyone on the chat and keeping the spreadsheet. I did not sign up to be the manager of this. so stressed, i feel like cancelling the whole thing.</t>
        </is>
      </c>
      <c r="D47" s="8" t="inlineStr">
        <is>
          <t>so stressed</t>
        </is>
      </c>
      <c r="E47" s="8" t="inlineStr">
        <is>
          <t>stress</t>
        </is>
      </c>
      <c r="F47" s="9" t="n">
        <v>0.8646</v>
      </c>
      <c r="G47" s="9" t="n">
        <v>0.9996</v>
      </c>
      <c r="H47" s="8" t="inlineStr">
        <is>
          <t>the group trip planning has turned into a</t>
        </is>
      </c>
      <c r="I47" s="8" t="inlineStr">
        <is>
          <t>so stressed, i feel like cancelling the whole thing [stress]</t>
        </is>
      </c>
      <c r="J47" s="8" t="inlineStr">
        <is>
          <t>partly overlaps a gold span</t>
        </is>
      </c>
      <c r="K47" s="10" t="inlineStr">
        <is>
          <t>boundary of a gold span</t>
        </is>
      </c>
      <c r="L47" s="10" t="n"/>
      <c r="M47" s="10" t="n"/>
      <c r="N47" s="10" t="inlineStr">
        <is>
          <t>Shorter version of the gold span</t>
        </is>
      </c>
      <c r="O47" s="11" t="n"/>
      <c r="P47" s="11" t="n"/>
      <c r="Q47" s="11" t="n"/>
      <c r="R47" s="11" t="n"/>
    </row>
    <row r="48">
      <c r="A48" s="8" t="inlineStr">
        <is>
          <t>S222</t>
        </is>
      </c>
      <c r="B48" s="8" t="inlineStr">
        <is>
          <t>cause before emotion</t>
        </is>
      </c>
      <c r="C48" s="8" t="inlineStr">
        <is>
          <t>I gave my first ever talk at the Kolkata book club about the novel i read last year. 15 people came and two even asked questions. proud of myself for not skipping it like i usually do.</t>
        </is>
      </c>
      <c r="D48" s="8" t="inlineStr">
        <is>
          <t>proud of myself for</t>
        </is>
      </c>
      <c r="E48" s="8" t="inlineStr">
        <is>
          <t>pride</t>
        </is>
      </c>
      <c r="F48" s="9" t="n">
        <v>0.8594000000000001</v>
      </c>
      <c r="G48" s="9" t="n">
        <v>0.9996</v>
      </c>
      <c r="H48" s="8" t="inlineStr">
        <is>
          <t>I gave my first ever talk at the Kolkata book club about the novel i read last year</t>
        </is>
      </c>
      <c r="I48" s="8" t="inlineStr">
        <is>
          <t>proud of myself for not skipping it like i usually do [pride]</t>
        </is>
      </c>
      <c r="J48" s="8" t="inlineStr">
        <is>
          <t>partly overlaps a gold span</t>
        </is>
      </c>
      <c r="K48" s="10" t="inlineStr">
        <is>
          <t>boundary of a gold span</t>
        </is>
      </c>
      <c r="L48" s="10" t="n"/>
      <c r="M48" s="10" t="n"/>
      <c r="N48" s="10" t="inlineStr">
        <is>
          <t>Fragment of the gold span</t>
        </is>
      </c>
      <c r="O48" s="11" t="n"/>
      <c r="P48" s="11" t="n"/>
      <c r="Q48" s="11" t="n"/>
      <c r="R48" s="11" t="n"/>
    </row>
    <row r="49">
      <c r="A49" s="8" t="inlineStr">
        <is>
          <t>S070</t>
        </is>
      </c>
      <c r="B49" s="8" t="inlineStr">
        <is>
          <t>two emotions, two causes</t>
        </is>
      </c>
      <c r="C49" s="8" t="inlineStr">
        <is>
          <t>My girlfriend lied to me about where she was last Friday and I found out through Instagram. I am so angry. At the same time I feel guilty for checking her profile in the first place. I do not know which one of us is more at fault.</t>
        </is>
      </c>
      <c r="D49" s="8" t="inlineStr">
        <is>
          <t>I feel guilty for checking her</t>
        </is>
      </c>
      <c r="E49" s="8" t="inlineStr">
        <is>
          <t>guilt</t>
        </is>
      </c>
      <c r="F49" s="9" t="n">
        <v>0.8411999999999999</v>
      </c>
      <c r="G49" s="9" t="n">
        <v>0.9987</v>
      </c>
      <c r="H49" s="8" t="inlineStr">
        <is>
          <t>My girlfriend lied to me about where she was last Friday and I found out through Instagram</t>
        </is>
      </c>
      <c r="I49" s="8" t="inlineStr">
        <is>
          <t>I am so angry [anger] | I feel guilty [guilt]</t>
        </is>
      </c>
      <c r="J49" s="8" t="inlineStr">
        <is>
          <t>partly overlaps a gold span</t>
        </is>
      </c>
      <c r="K49" s="10" t="inlineStr">
        <is>
          <t>boundary of a gold span</t>
        </is>
      </c>
      <c r="L49" s="10" t="n"/>
      <c r="M49" s="10" t="n"/>
      <c r="N49" s="10" t="inlineStr">
        <is>
          <t>Longer than gold; includes the cause</t>
        </is>
      </c>
      <c r="O49" s="11" t="n"/>
      <c r="P49" s="11" t="n"/>
      <c r="Q49" s="11" t="n"/>
      <c r="R49" s="11" t="n"/>
    </row>
    <row r="50">
      <c r="A50" s="8" t="inlineStr">
        <is>
          <t>S173</t>
        </is>
      </c>
      <c r="B50" s="8" t="inlineStr">
        <is>
          <t>two emotions, two causes</t>
        </is>
      </c>
      <c r="C50" s="8" t="inlineStr">
        <is>
          <t>my lab partner copied the entire report from me and submitted it first. i was so angry i could not eat. but then the professor praised my viva and said it was the best in the batch, so i went from furious to really proud in two hours.</t>
        </is>
      </c>
      <c r="D50" s="8" t="inlineStr">
        <is>
          <t>furious</t>
        </is>
      </c>
      <c r="E50" s="8" t="inlineStr">
        <is>
          <t>anger</t>
        </is>
      </c>
      <c r="F50" s="9" t="n">
        <v>0.8374</v>
      </c>
      <c r="G50" s="9" t="n">
        <v>0.999</v>
      </c>
      <c r="H50" s="8" t="inlineStr">
        <is>
          <t>my lab partner copied the entire report from me and submitted it first</t>
        </is>
      </c>
      <c r="I50" s="8" t="inlineStr">
        <is>
          <t>i was so angry i could not eat [anger] | really proud [pride]</t>
        </is>
      </c>
      <c r="J50" s="8" t="inlineStr">
        <is>
          <t>no overlap with gold</t>
        </is>
      </c>
      <c r="K50" s="10" t="inlineStr">
        <is>
          <t>restates a gold emotion</t>
        </is>
      </c>
      <c r="L50" s="10" t="n"/>
      <c r="M50" s="10" t="n"/>
      <c r="N50" s="10" t="inlineStr">
        <is>
          <t>'went from furious' restates the gold anger</t>
        </is>
      </c>
      <c r="O50" s="11" t="n"/>
      <c r="P50" s="11" t="n"/>
      <c r="Q50" s="11" t="n"/>
      <c r="R50" s="11" t="n"/>
    </row>
    <row r="51">
      <c r="A51" s="8" t="inlineStr">
        <is>
          <t>S082</t>
        </is>
      </c>
      <c r="B51" s="8" t="inlineStr">
        <is>
          <t>two emotions, two causes</t>
        </is>
      </c>
      <c r="C51" s="8" t="inlineStr">
        <is>
          <t>My girlfriend and I finally cleared the air after two weeks of not talking, I feel so relieved and happy. We sat on the terrace till late and talked more than we have in months. But I am worried it will happen again because we did not really talk about the root problem. I keep telling myself to not overthink.</t>
        </is>
      </c>
      <c r="D51" s="8" t="inlineStr">
        <is>
          <t>I am worried</t>
        </is>
      </c>
      <c r="E51" s="8" t="inlineStr">
        <is>
          <t>fear</t>
        </is>
      </c>
      <c r="F51" s="9" t="n">
        <v>0.8372000000000001</v>
      </c>
      <c r="G51" s="9" t="n">
        <v>0.9983</v>
      </c>
      <c r="H51" s="8" t="inlineStr">
        <is>
          <t>My girlfriend and I finally cleared the air after two weeks of not talking</t>
        </is>
      </c>
      <c r="I51" s="8" t="inlineStr">
        <is>
          <t>I feel so relieved and happy [joy] | I am worried it will happen again [fear]</t>
        </is>
      </c>
      <c r="J51" s="8" t="inlineStr">
        <is>
          <t>partly overlaps a gold span</t>
        </is>
      </c>
      <c r="K51" s="10" t="inlineStr">
        <is>
          <t>boundary of a gold span</t>
        </is>
      </c>
      <c r="L51" s="10" t="n"/>
      <c r="M51" s="10" t="n"/>
      <c r="N51" s="10" t="inlineStr">
        <is>
          <t>Shorter version of the gold span</t>
        </is>
      </c>
      <c r="O51" s="11" t="n"/>
      <c r="P51" s="11" t="n"/>
      <c r="Q51" s="11" t="n"/>
      <c r="R51" s="11" t="n"/>
    </row>
    <row r="52">
      <c r="A52" s="8" t="inlineStr">
        <is>
          <t>S291</t>
        </is>
      </c>
      <c r="B52" s="8" t="inlineStr">
        <is>
          <t>implicit cause</t>
        </is>
      </c>
      <c r="C52" s="8" t="inlineStr">
        <is>
          <t>Walked around the lake twice. The mind was just blank and happy. I had nothing to think about and it felt nice. Everyone in the hostel was playing something loud in their rooms. I put my headphones on and took them off ten times.</t>
        </is>
      </c>
      <c r="D52" s="8" t="inlineStr">
        <is>
          <t>it felt nice</t>
        </is>
      </c>
      <c r="E52" s="8" t="inlineStr">
        <is>
          <t>contentment</t>
        </is>
      </c>
      <c r="F52" s="9" t="n">
        <v>0.8363</v>
      </c>
      <c r="G52" s="9" t="n">
        <v>0.9955000000000001</v>
      </c>
      <c r="H52" s="8" t="inlineStr">
        <is>
          <t>(implicit)</t>
        </is>
      </c>
      <c r="I52" s="8" t="inlineStr">
        <is>
          <t>The mind was just blank and happy [joy]</t>
        </is>
      </c>
      <c r="J52" s="8" t="inlineStr">
        <is>
          <t>no overlap with gold</t>
        </is>
      </c>
      <c r="K52" s="10" t="inlineStr">
        <is>
          <t>restates a gold emotion</t>
        </is>
      </c>
      <c r="L52" s="10" t="n"/>
      <c r="M52" s="10" t="n"/>
      <c r="N52" s="10" t="inlineStr">
        <is>
          <t>Same calm happiness as the gold clause</t>
        </is>
      </c>
      <c r="O52" s="11" t="n"/>
      <c r="P52" s="11" t="n"/>
      <c r="Q52" s="11" t="n"/>
      <c r="R52" s="11" t="n"/>
    </row>
    <row r="53">
      <c r="A53" s="8" t="inlineStr">
        <is>
          <t>S207</t>
        </is>
      </c>
      <c r="B53" s="8" t="inlineStr">
        <is>
          <t>cause before emotion</t>
        </is>
      </c>
      <c r="C53" s="8" t="inlineStr">
        <is>
          <t>The client moved the demo from friday to wednesday and nobody told the backend team until the afternoon. I was in the middle of fixing the login bug when the message came. We now have two days to finish the payment module, write the test cases and prepare the slides. Rohit already said he will be offline tomorrow for a function. I am so stressed i skipped lunch and just kept typing, my head is buzzing.</t>
        </is>
      </c>
      <c r="D53" s="8" t="inlineStr">
        <is>
          <t>head is buzzing</t>
        </is>
      </c>
      <c r="E53" s="8" t="inlineStr">
        <is>
          <t>stress</t>
        </is>
      </c>
      <c r="F53" s="9" t="n">
        <v>0.8276</v>
      </c>
      <c r="G53" s="9" t="n">
        <v>0.9983</v>
      </c>
      <c r="H53" s="8" t="inlineStr">
        <is>
          <t>it already said he will be offline tomorrow for a function</t>
        </is>
      </c>
      <c r="I53" s="8" t="inlineStr">
        <is>
          <t>I am so stressed [stress]</t>
        </is>
      </c>
      <c r="J53" s="8" t="inlineStr">
        <is>
          <t>no overlap with gold</t>
        </is>
      </c>
      <c r="K53" s="10" t="inlineStr">
        <is>
          <t>restates a gold emotion</t>
        </is>
      </c>
      <c r="L53" s="10" t="n"/>
      <c r="M53" s="10" t="n"/>
      <c r="N53" s="10" t="inlineStr">
        <is>
          <t>Same stress as the gold clause</t>
        </is>
      </c>
      <c r="O53" s="11" t="n"/>
      <c r="P53" s="11" t="n"/>
      <c r="Q53" s="11" t="n"/>
      <c r="R53" s="11" t="n"/>
    </row>
    <row r="54">
      <c r="A54" s="8" t="inlineStr">
        <is>
          <t>S077</t>
        </is>
      </c>
      <c r="B54" s="8" t="inlineStr">
        <is>
          <t>two emotions, two causes</t>
        </is>
      </c>
      <c r="C54" s="8" t="inlineStr">
        <is>
          <t>Mummy's surgery was today and the doctors said everything went well, I cried from relief. I had been sitting in the waiting area since 7 with Papa, and neither of us could eat anything. Every time the door opened my heart jumped. When the nurse finally came out and smiled, I just collapsed on the chair. Papa held my hand and did not say anything, he just kept nodding. I called my sister and she was screaming and crying at the same time on the phone. I am also so tired and stressed from running around the hospital since morning. There were forms to sign, medicines to buy from the other building and the billing counter was a mess. I have not eaten properly in two days and my feet are aching. But she is okay, that is what matters. I will sleep for a week after this. The hospital canteen ran out of tea by nine, so I had a packet of biscuits from the vending machine. Visiting hours ended at eight and we were allowed to stay only in the waiting area. A man at the next bench was reading a newspaper upside down and a child kept running up and down the corridor with a plastic bottle.</t>
        </is>
      </c>
      <c r="D54" s="8" t="inlineStr">
        <is>
          <t>my heart jumped</t>
        </is>
      </c>
      <c r="E54" s="8" t="inlineStr">
        <is>
          <t>fear</t>
        </is>
      </c>
      <c r="F54" s="9" t="n">
        <v>0.8266</v>
      </c>
      <c r="G54" s="9" t="n">
        <v>0.9989</v>
      </c>
      <c r="H54" s="8" t="inlineStr">
        <is>
          <t>the nurse finally came out and smiled</t>
        </is>
      </c>
      <c r="I54" s="8" t="inlineStr">
        <is>
          <t>I cried from relief [joy] | so tired and stressed [stress]</t>
        </is>
      </c>
      <c r="J54" s="8" t="inlineStr">
        <is>
          <t>no overlap with gold</t>
        </is>
      </c>
      <c r="K54" s="10" t="inlineStr">
        <is>
          <t>real emotion missed by labels</t>
        </is>
      </c>
      <c r="L54" s="10" t="inlineStr">
        <is>
          <t>fear</t>
        </is>
      </c>
      <c r="M54" s="10" t="inlineStr">
        <is>
          <t>Mummy's surgery was today</t>
        </is>
      </c>
      <c r="N54" s="10" t="inlineStr">
        <is>
          <t>Anxiety while waiting for the surgery outcome</t>
        </is>
      </c>
      <c r="O54" s="11" t="n"/>
      <c r="P54" s="11" t="n"/>
      <c r="Q54" s="11" t="n"/>
      <c r="R54" s="11" t="n"/>
    </row>
    <row r="55">
      <c r="A55" s="8" t="inlineStr">
        <is>
          <t>S020</t>
        </is>
      </c>
      <c r="B55" s="8" t="inlineStr">
        <is>
          <t>cause before emotion</t>
        </is>
      </c>
      <c r="C55" s="8" t="inlineStr">
        <is>
          <t>My girlfriend moved to Bangalore today for her job, the city feels so empty already. I am really sad, we have been together for four years. I walked home the long way so I would not have to sit in my room. I made a list of all the places we used to go to and then deleted it. At the bus stop an old man asked me for directions and I walked with him for five minutes to show the way. When I reached the hostel I ate dinner at the mess without really tasting anything. Later I watched two episodes of a show on my laptop and fell asleep with the earphones on.</t>
        </is>
      </c>
      <c r="D55" s="8" t="inlineStr">
        <is>
          <t>city feels so empty already</t>
        </is>
      </c>
      <c r="E55" s="8" t="inlineStr">
        <is>
          <t>sadness</t>
        </is>
      </c>
      <c r="F55" s="9" t="n">
        <v>0.8250999999999999</v>
      </c>
      <c r="G55" s="9" t="n">
        <v>0.9994</v>
      </c>
      <c r="H55" s="8" t="inlineStr">
        <is>
          <t>(implicit)</t>
        </is>
      </c>
      <c r="I55" s="8" t="inlineStr">
        <is>
          <t>I am really sad [sadness]</t>
        </is>
      </c>
      <c r="J55" s="8" t="inlineStr">
        <is>
          <t>no overlap with gold</t>
        </is>
      </c>
      <c r="K55" s="10" t="inlineStr">
        <is>
          <t>restates a gold emotion</t>
        </is>
      </c>
      <c r="L55" s="10" t="n"/>
      <c r="M55" s="10" t="n"/>
      <c r="N55" s="10" t="inlineStr">
        <is>
          <t>Same sadness as the gold clause</t>
        </is>
      </c>
      <c r="O55" s="11" t="n"/>
      <c r="P55" s="11" t="n"/>
      <c r="Q55" s="11" t="n"/>
      <c r="R55" s="11" t="n"/>
    </row>
    <row r="56">
      <c r="A56" s="8" t="inlineStr">
        <is>
          <t>S234</t>
        </is>
      </c>
      <c r="B56" s="8" t="inlineStr">
        <is>
          <t>cause before emotion</t>
        </is>
      </c>
      <c r="C56" s="8" t="inlineStr">
        <is>
          <t>The monsoon started in Mumbai today and i got completely drenched on the way back from the station. I did not even open my umbrella. I laughed out loud on the street, so happy. The first drops fell around five and by the time i reached the road the whole street was a river. A bus splashed water over my bag and my shoes were completely wet. People were standing under the shop shutters looking at the sky. I walked slowly through the puddles and the smell of wet mud was everywhere.</t>
        </is>
      </c>
      <c r="D56" s="8" t="inlineStr">
        <is>
          <t>so happy</t>
        </is>
      </c>
      <c r="E56" s="8" t="inlineStr">
        <is>
          <t>joy</t>
        </is>
      </c>
      <c r="F56" s="9" t="n">
        <v>0.8205</v>
      </c>
      <c r="G56" s="9" t="n">
        <v>0.9997</v>
      </c>
      <c r="H56" s="8" t="inlineStr">
        <is>
          <t>The monsoon started in Mumbai today and i got completely drenched on the way back from the station</t>
        </is>
      </c>
      <c r="I56" s="8" t="inlineStr">
        <is>
          <t>I laughed out loud on the street, so happy [joy]</t>
        </is>
      </c>
      <c r="J56" s="8" t="inlineStr">
        <is>
          <t>partly overlaps a gold span</t>
        </is>
      </c>
      <c r="K56" s="10" t="inlineStr">
        <is>
          <t>boundary of a gold span</t>
        </is>
      </c>
      <c r="L56" s="10" t="n"/>
      <c r="M56" s="10" t="n"/>
      <c r="N56" s="10" t="inlineStr">
        <is>
          <t>Shorter version of the gold span</t>
        </is>
      </c>
      <c r="O56" s="11" t="n"/>
      <c r="P56" s="11" t="n"/>
      <c r="Q56" s="11" t="n"/>
      <c r="R56" s="11" t="n"/>
    </row>
    <row r="57">
      <c r="A57" s="8" t="inlineStr">
        <is>
          <t>S157</t>
        </is>
      </c>
      <c r="B57" s="8" t="inlineStr">
        <is>
          <t>implicit cause</t>
        </is>
      </c>
      <c r="C57" s="8" t="inlineStr">
        <is>
          <t>weirdly guilty tonight and i cant pin it down. like i owe somebody a call. I closed the laptop and opened it again. Then I put the phone in another room.</t>
        </is>
      </c>
      <c r="D57" s="8" t="inlineStr">
        <is>
          <t>weirdly guilty tonight and i cant pin it down</t>
        </is>
      </c>
      <c r="E57" s="8" t="inlineStr">
        <is>
          <t>guilt</t>
        </is>
      </c>
      <c r="F57" s="9" t="n">
        <v>0.8133</v>
      </c>
      <c r="G57" s="9" t="n">
        <v>0.6683</v>
      </c>
      <c r="H57" s="8" t="inlineStr">
        <is>
          <t>(implicit)</t>
        </is>
      </c>
      <c r="I57" s="8" t="inlineStr">
        <is>
          <t>weirdly guilty tonight [guilt]</t>
        </is>
      </c>
      <c r="J57" s="8" t="inlineStr">
        <is>
          <t>partly overlaps a gold span</t>
        </is>
      </c>
      <c r="K57" s="10" t="inlineStr">
        <is>
          <t>boundary of a gold span</t>
        </is>
      </c>
      <c r="L57" s="10" t="n"/>
      <c r="M57" s="10" t="n"/>
      <c r="N57" s="10" t="inlineStr">
        <is>
          <t>Longer than gold</t>
        </is>
      </c>
      <c r="O57" s="11" t="n"/>
      <c r="P57" s="11" t="n"/>
      <c r="Q57" s="11" t="n"/>
      <c r="R57" s="11" t="n"/>
    </row>
    <row r="58">
      <c r="A58" s="8" t="inlineStr">
        <is>
          <t>S025</t>
        </is>
      </c>
      <c r="B58" s="8" t="inlineStr">
        <is>
          <t>cause before emotion</t>
        </is>
      </c>
      <c r="C58" s="8" t="inlineStr">
        <is>
          <t>Three exams in four days and I have only finished one syllabus. Overwhelmed and cannot even think straight. I made a timetable but I already know I will not follow it. I have also started to skip meals to save time. The subjects are mostly theory and I keep losing my place in the textbook.</t>
        </is>
      </c>
      <c r="D58" s="8" t="inlineStr">
        <is>
          <t>Overwhelmed</t>
        </is>
      </c>
      <c r="E58" s="8" t="inlineStr">
        <is>
          <t>stress</t>
        </is>
      </c>
      <c r="F58" s="9" t="n">
        <v>0.8111</v>
      </c>
      <c r="G58" s="9" t="n">
        <v>0.9348</v>
      </c>
      <c r="H58" s="8" t="inlineStr">
        <is>
          <t>Three exams in four days and I have only finished one syllabus</t>
        </is>
      </c>
      <c r="I58" s="8" t="inlineStr">
        <is>
          <t>Overwhelmed and cannot even think straight [stress]</t>
        </is>
      </c>
      <c r="J58" s="8" t="inlineStr">
        <is>
          <t>partly overlaps a gold span</t>
        </is>
      </c>
      <c r="K58" s="10" t="inlineStr">
        <is>
          <t>boundary of a gold span</t>
        </is>
      </c>
      <c r="L58" s="10" t="n"/>
      <c r="M58" s="10" t="n"/>
      <c r="N58" s="10" t="inlineStr">
        <is>
          <t>Shorter version of the gold span</t>
        </is>
      </c>
      <c r="O58" s="11" t="n"/>
      <c r="P58" s="11" t="n"/>
      <c r="Q58" s="11" t="n"/>
      <c r="R58" s="11" t="n"/>
    </row>
    <row r="59">
      <c r="A59" s="8" t="inlineStr">
        <is>
          <t>S083</t>
        </is>
      </c>
      <c r="B59" s="8" t="inlineStr">
        <is>
          <t>two emotions, two causes</t>
        </is>
      </c>
      <c r="C59" s="8" t="inlineStr">
        <is>
          <t>My professor praised my paper in front of the class and I felt proud and a bit shy. After class my labmate said I just got lucky, and it stung more than I want to admit. I know he did not mean it badly. Still it stayed with me till night. The paper was about graph algorithms and I had worked on it for almost the whole semester. In the lab afterwards two people asked me for the code and I shared the link. I made a cup of coffee and sat at my desk till late, rereading the review comments and the mistakes I had marked in red.</t>
        </is>
      </c>
      <c r="D59" s="8" t="inlineStr">
        <is>
          <t>a bit shy</t>
        </is>
      </c>
      <c r="E59" s="8" t="inlineStr">
        <is>
          <t>fear</t>
        </is>
      </c>
      <c r="F59" s="9" t="n">
        <v>0.8073</v>
      </c>
      <c r="G59" s="9" t="n">
        <v>0.8608</v>
      </c>
      <c r="H59" s="8" t="inlineStr">
        <is>
          <t>my labmate said I just got lucky</t>
        </is>
      </c>
      <c r="I59" s="8" t="inlineStr">
        <is>
          <t>I felt proud and a bit shy [pride] | it stung more than I want to admit [sadness]</t>
        </is>
      </c>
      <c r="J59" s="8" t="inlineStr">
        <is>
          <t>partly overlaps a gold span</t>
        </is>
      </c>
      <c r="K59" s="10" t="inlineStr">
        <is>
          <t>boundary of a gold span</t>
        </is>
      </c>
      <c r="L59" s="10" t="n"/>
      <c r="M59" s="10" t="n"/>
      <c r="N59" s="10" t="inlineStr">
        <is>
          <t>'a bit shy' is inside the gold pride span; shyness may deserve its own guilt (embarrassment) row</t>
        </is>
      </c>
      <c r="O59" s="11" t="n"/>
      <c r="P59" s="11" t="n"/>
      <c r="Q59" s="11" t="n"/>
      <c r="R59" s="11" t="n"/>
    </row>
    <row r="60">
      <c r="A60" s="8" t="inlineStr">
        <is>
          <t>S072</t>
        </is>
      </c>
      <c r="B60" s="8" t="inlineStr">
        <is>
          <t>two emotions, two causes</t>
        </is>
      </c>
      <c r="C60" s="8" t="inlineStr">
        <is>
          <t>The canteen guy gave me extra rice without even asking, such a small thing but I was really grateful. Then I saw my CGPA on the portal and my mood just dropped, 6.4. I do not know how I will explain it at home.</t>
        </is>
      </c>
      <c r="D60" s="8" t="inlineStr">
        <is>
          <t>6.4</t>
        </is>
      </c>
      <c r="E60" s="8" t="inlineStr">
        <is>
          <t>anger</t>
        </is>
      </c>
      <c r="F60" s="9" t="n">
        <v>0.7982</v>
      </c>
      <c r="G60" s="9" t="n">
        <v>0.9333</v>
      </c>
      <c r="H60" s="8" t="inlineStr">
        <is>
          <t>I saw my CGPA on the portal</t>
        </is>
      </c>
      <c r="I60" s="8" t="inlineStr">
        <is>
          <t>I was really grateful [gratitude] | my mood just dropped [sadness]</t>
        </is>
      </c>
      <c r="J60" s="8" t="inlineStr">
        <is>
          <t>no overlap with gold</t>
        </is>
      </c>
      <c r="K60" s="10" t="inlineStr">
        <is>
          <t>not an emotion</t>
        </is>
      </c>
      <c r="L60" s="10" t="n"/>
      <c r="M60" s="10" t="n"/>
      <c r="N60" s="10" t="inlineStr">
        <is>
          <t>A number, not an emotion</t>
        </is>
      </c>
      <c r="O60" s="11" t="n"/>
      <c r="P60" s="11" t="n"/>
      <c r="Q60" s="11" t="n"/>
      <c r="R60" s="11" t="n"/>
    </row>
    <row r="61">
      <c r="A61" s="8" t="inlineStr">
        <is>
          <t>S172</t>
        </is>
      </c>
      <c r="B61" s="8" t="inlineStr">
        <is>
          <t>two emotions, two causes</t>
        </is>
      </c>
      <c r="C61" s="8" t="inlineStr">
        <is>
          <t>the rent got increased by 3000 and my flatmates wanted to split it equally even though i have the smallest room. i was so angry i kept quiet. later the owner called and said he will reduce it by 1000 for me, i was surprised and a little grateful.</t>
        </is>
      </c>
      <c r="D61" s="8" t="inlineStr">
        <is>
          <t>a little grateful</t>
        </is>
      </c>
      <c r="E61" s="8" t="inlineStr">
        <is>
          <t>gratitude</t>
        </is>
      </c>
      <c r="F61" s="9" t="n">
        <v>0.7955</v>
      </c>
      <c r="G61" s="9" t="n">
        <v>0.9995000000000001</v>
      </c>
      <c r="H61" s="8" t="inlineStr">
        <is>
          <t>the owner called and said he will reduce it by 1000 for me</t>
        </is>
      </c>
      <c r="I61" s="8" t="inlineStr">
        <is>
          <t>i was so angry i kept quiet [anger] | i was surprised and a little grateful [surprise]</t>
        </is>
      </c>
      <c r="J61" s="8" t="inlineStr">
        <is>
          <t>partly overlaps a gold span</t>
        </is>
      </c>
      <c r="K61" s="10" t="inlineStr">
        <is>
          <t>real emotion missed by labels</t>
        </is>
      </c>
      <c r="L61" s="10" t="inlineStr">
        <is>
          <t>gratitude</t>
        </is>
      </c>
      <c r="M61" s="10" t="inlineStr">
        <is>
          <t>the owner called and said he will reduce it by 1000 for me</t>
        </is>
      </c>
      <c r="N61" s="10" t="inlineStr">
        <is>
          <t>Gold merges surprise and gratitude into one span; gratitude deserves its own row</t>
        </is>
      </c>
      <c r="O61" s="11" t="n"/>
      <c r="P61" s="11" t="n"/>
      <c r="Q61" s="11" t="n"/>
      <c r="R61" s="11" t="n"/>
    </row>
    <row r="62">
      <c r="A62" s="8" t="inlineStr">
        <is>
          <t>S173</t>
        </is>
      </c>
      <c r="B62" s="8" t="inlineStr">
        <is>
          <t>two emotions, two causes</t>
        </is>
      </c>
      <c r="C62" s="8" t="inlineStr">
        <is>
          <t>my lab partner copied the entire report from me and submitted it first. i was so angry i could not eat. but then the professor praised my viva and said it was the best in the batch, so i went from furious to really proud in two hours.</t>
        </is>
      </c>
      <c r="D62" s="8" t="inlineStr">
        <is>
          <t>i</t>
        </is>
      </c>
      <c r="E62" s="8" t="inlineStr">
        <is>
          <t>joy</t>
        </is>
      </c>
      <c r="F62" s="9" t="n">
        <v>0.7943</v>
      </c>
      <c r="G62" s="9" t="n">
        <v>0.8727</v>
      </c>
      <c r="H62" s="8" t="inlineStr">
        <is>
          <t>the professor praised my viva and said it was the best in the batch</t>
        </is>
      </c>
      <c r="I62" s="8" t="inlineStr">
        <is>
          <t>i was so angry i could not eat [anger] | really proud [pride]</t>
        </is>
      </c>
      <c r="J62" s="8" t="inlineStr">
        <is>
          <t>no overlap with gold</t>
        </is>
      </c>
      <c r="K62" s="10" t="inlineStr">
        <is>
          <t>not an emotion</t>
        </is>
      </c>
      <c r="L62" s="10" t="n"/>
      <c r="M62" s="10" t="n"/>
      <c r="N62" s="10" t="inlineStr">
        <is>
          <t>Fragment</t>
        </is>
      </c>
      <c r="O62" s="11" t="n"/>
      <c r="P62" s="11" t="n"/>
      <c r="Q62" s="11" t="n"/>
      <c r="R62" s="11" t="n"/>
    </row>
    <row r="63">
      <c r="A63" s="8" t="inlineStr">
        <is>
          <t>S214</t>
        </is>
      </c>
      <c r="B63" s="8" t="inlineStr">
        <is>
          <t>cause before emotion</t>
        </is>
      </c>
      <c r="C63" s="8" t="inlineStr">
        <is>
          <t>Our startup pitch at the Pune hackathon got picked for the final round out of 60 teams. We had stayed up for two nights building the prototype and the demo broke twice during the practice run. When our team name was called from the stage, all four of us just froze and then started screaming at the same time. I have never felt this kind of adrenaline before, it is such a rush, i am so happy i cannot even type properly.</t>
        </is>
      </c>
      <c r="D63" s="8" t="inlineStr">
        <is>
          <t>felt this kind of adrenaline</t>
        </is>
      </c>
      <c r="E63" s="8" t="inlineStr">
        <is>
          <t>joy</t>
        </is>
      </c>
      <c r="F63" s="9" t="n">
        <v>0.7862</v>
      </c>
      <c r="G63" s="9" t="n">
        <v>0.9370000000000001</v>
      </c>
      <c r="H63" s="8" t="inlineStr">
        <is>
          <t>Our startup pitch at the Pune hackathon got picked for the final round out of 60 teams</t>
        </is>
      </c>
      <c r="I63" s="8" t="inlineStr">
        <is>
          <t>i am so happy i cannot even type properly [joy]</t>
        </is>
      </c>
      <c r="J63" s="8" t="inlineStr">
        <is>
          <t>no overlap with gold</t>
        </is>
      </c>
      <c r="K63" s="10" t="inlineStr">
        <is>
          <t>restates a gold emotion</t>
        </is>
      </c>
      <c r="L63" s="10" t="n"/>
      <c r="M63" s="10" t="n"/>
      <c r="N63" s="10" t="inlineStr">
        <is>
          <t>Same joy as the gold clause</t>
        </is>
      </c>
      <c r="O63" s="11" t="n"/>
      <c r="P63" s="11" t="n"/>
      <c r="Q63" s="11" t="n"/>
      <c r="R63" s="11" t="n"/>
    </row>
    <row r="64">
      <c r="A64" s="8" t="inlineStr">
        <is>
          <t>S288</t>
        </is>
      </c>
      <c r="B64" s="8" t="inlineStr">
        <is>
          <t>implicit cause</t>
        </is>
      </c>
      <c r="C64" s="8" t="inlineStr">
        <is>
          <t>kinda proud of how the week went. nothing big, just feel i handled things well.</t>
        </is>
      </c>
      <c r="D64" s="8" t="inlineStr">
        <is>
          <t>handled things well</t>
        </is>
      </c>
      <c r="E64" s="8" t="inlineStr">
        <is>
          <t>pride</t>
        </is>
      </c>
      <c r="F64" s="9" t="n">
        <v>0.7768</v>
      </c>
      <c r="G64" s="9" t="n">
        <v>0.9789</v>
      </c>
      <c r="H64" s="8" t="inlineStr">
        <is>
          <t>(implicit)</t>
        </is>
      </c>
      <c r="I64" s="8" t="inlineStr">
        <is>
          <t>kinda proud of how the week went [pride]</t>
        </is>
      </c>
      <c r="J64" s="8" t="inlineStr">
        <is>
          <t>no overlap with gold</t>
        </is>
      </c>
      <c r="K64" s="10" t="inlineStr">
        <is>
          <t>restates a gold emotion</t>
        </is>
      </c>
      <c r="L64" s="10" t="n"/>
      <c r="M64" s="10" t="n"/>
      <c r="N64" s="10" t="inlineStr">
        <is>
          <t>Same pride as the gold clause</t>
        </is>
      </c>
      <c r="O64" s="11" t="n"/>
      <c r="P64" s="11" t="n"/>
      <c r="Q64" s="11" t="n"/>
      <c r="R64" s="11" t="n"/>
    </row>
    <row r="65">
      <c r="A65" s="8" t="inlineStr">
        <is>
          <t>S050</t>
        </is>
      </c>
      <c r="B65" s="8" t="inlineStr">
        <is>
          <t>different sentences</t>
        </is>
      </c>
      <c r="C65" s="8" t="inlineStr">
        <is>
          <t>Today I finally told Aman that his jokes about my accent hurt me. He apologised properly and even bought me chai. I feel lighter now, a lot lighter. I did not expect it to go this well.</t>
        </is>
      </c>
      <c r="D65" s="8" t="inlineStr">
        <is>
          <t>lot lighter</t>
        </is>
      </c>
      <c r="E65" s="8" t="inlineStr">
        <is>
          <t>contentment</t>
        </is>
      </c>
      <c r="F65" s="9" t="n">
        <v>0.7672</v>
      </c>
      <c r="G65" s="9" t="n">
        <v>0.9991</v>
      </c>
      <c r="H65" s="8" t="inlineStr">
        <is>
          <t>He apologised properly and even bought me chai</t>
        </is>
      </c>
      <c r="I65" s="8" t="inlineStr">
        <is>
          <t>I feel lighter now [contentment]</t>
        </is>
      </c>
      <c r="J65" s="8" t="inlineStr">
        <is>
          <t>no overlap with gold</t>
        </is>
      </c>
      <c r="K65" s="10" t="inlineStr">
        <is>
          <t>restates a gold emotion</t>
        </is>
      </c>
      <c r="L65" s="10" t="n"/>
      <c r="M65" s="10" t="n"/>
      <c r="N65" s="10" t="inlineStr">
        <is>
          <t>Same relief as gold 'I feel lighter now'</t>
        </is>
      </c>
      <c r="O65" s="11" t="n"/>
      <c r="P65" s="11" t="n"/>
      <c r="Q65" s="11" t="n"/>
      <c r="R65" s="11" t="n"/>
    </row>
    <row r="66">
      <c r="A66" s="8" t="inlineStr">
        <is>
          <t>S164</t>
        </is>
      </c>
      <c r="B66" s="8" t="inlineStr">
        <is>
          <t>two emotions, two causes</t>
        </is>
      </c>
      <c r="C66" s="8" t="inlineStr">
        <is>
          <t>my report came back normal and i was so relieved i laughed in the clinic. the nurse looked at me like i was crazy. then i got the bill, 3400 for tests that insurance will not cover, and my chest got tight again.</t>
        </is>
      </c>
      <c r="D66" s="8" t="inlineStr">
        <is>
          <t>looked at me like i was crazy</t>
        </is>
      </c>
      <c r="E66" s="8" t="inlineStr">
        <is>
          <t>fear</t>
        </is>
      </c>
      <c r="F66" s="9" t="n">
        <v>0.7595</v>
      </c>
      <c r="G66" s="9" t="n">
        <v>0.4224</v>
      </c>
      <c r="H66" s="8" t="inlineStr">
        <is>
          <t>got the bill, 3400 for tests that insurance will not cover</t>
        </is>
      </c>
      <c r="I66" s="8" t="inlineStr">
        <is>
          <t>so relieved i laughed in the clinic [contentment] | my chest got tight again [stress]</t>
        </is>
      </c>
      <c r="J66" s="8" t="inlineStr">
        <is>
          <t>no overlap with gold</t>
        </is>
      </c>
      <c r="K66" s="10" t="inlineStr">
        <is>
          <t>not an emotion</t>
        </is>
      </c>
      <c r="L66" s="10" t="n"/>
      <c r="M66" s="10" t="n"/>
      <c r="N66" s="10" t="inlineStr">
        <is>
          <t>Describes the nurse's reaction, not the writer's feeling</t>
        </is>
      </c>
      <c r="O66" s="11" t="n"/>
      <c r="P66" s="11" t="n"/>
      <c r="Q66" s="11" t="n"/>
      <c r="R66" s="11" t="n"/>
    </row>
    <row r="67">
      <c r="A67" s="8" t="inlineStr">
        <is>
          <t>S328</t>
        </is>
      </c>
      <c r="B67" s="8" t="inlineStr">
        <is>
          <t>two emotions, two causes</t>
        </is>
      </c>
      <c r="C67" s="8" t="inlineStr">
        <is>
          <t>I booked a solo trip to Manali, my first ever, and i have been jumping around the room since. Reading the weather updates about landslides made my heart sink though and i keep refreshing them, really worried.</t>
        </is>
      </c>
      <c r="D67" s="8" t="inlineStr">
        <is>
          <t>my heart sink</t>
        </is>
      </c>
      <c r="E67" s="8" t="inlineStr">
        <is>
          <t>fear</t>
        </is>
      </c>
      <c r="F67" s="9" t="n">
        <v>0.7526</v>
      </c>
      <c r="G67" s="9" t="n">
        <v>0.9992</v>
      </c>
      <c r="H67" s="8" t="inlineStr">
        <is>
          <t>the weather updates about landslides</t>
        </is>
      </c>
      <c r="I67" s="8" t="inlineStr">
        <is>
          <t>i have been jumping around the room since [joy] | really worried [fear]</t>
        </is>
      </c>
      <c r="J67" s="8" t="inlineStr">
        <is>
          <t>no overlap with gold</t>
        </is>
      </c>
      <c r="K67" s="10" t="inlineStr">
        <is>
          <t>restates a gold emotion</t>
        </is>
      </c>
      <c r="L67" s="10" t="n"/>
      <c r="M67" s="10" t="n"/>
      <c r="N67" s="10" t="inlineStr">
        <is>
          <t>Same fear as gold 'really worried'</t>
        </is>
      </c>
      <c r="O67" s="11" t="n"/>
      <c r="P67" s="11" t="n"/>
      <c r="Q67" s="11" t="n"/>
      <c r="R67" s="11" t="n"/>
    </row>
    <row r="68">
      <c r="A68" s="8" t="inlineStr">
        <is>
          <t>S004</t>
        </is>
      </c>
      <c r="B68" s="8" t="inlineStr">
        <is>
          <t>cause before emotion</t>
        </is>
      </c>
      <c r="C68" s="8" t="inlineStr">
        <is>
          <t>Maa made my favourite rajma chawal after a really long week. I almost cried at the dinner table, so grateful for her. She does not say much but she always knows when I am tired. I helped her wash the dishes afterwards while she told me about the new shop near the temple. We watched half of a serial together and I fell asleep on the sofa with my head on a cushion. In the morning she had already packed a tiffin for me with extra pickle and two parathas for the bus.</t>
        </is>
      </c>
      <c r="D68" s="8" t="inlineStr">
        <is>
          <t>I almost cried at the dinner table</t>
        </is>
      </c>
      <c r="E68" s="8" t="inlineStr">
        <is>
          <t>fear</t>
        </is>
      </c>
      <c r="F68" s="9" t="n">
        <v>0.7523</v>
      </c>
      <c r="G68" s="9" t="n">
        <v>0.8272</v>
      </c>
      <c r="H68" s="8" t="inlineStr">
        <is>
          <t>Maa made my favourite rajma chawal after a really long week</t>
        </is>
      </c>
      <c r="I68" s="8" t="inlineStr">
        <is>
          <t>so grateful for her [gratitude]</t>
        </is>
      </c>
      <c r="J68" s="8" t="inlineStr">
        <is>
          <t>no overlap with gold</t>
        </is>
      </c>
      <c r="K68" s="10" t="inlineStr">
        <is>
          <t>restates a gold emotion</t>
        </is>
      </c>
      <c r="L68" s="10" t="n"/>
      <c r="M68" s="10" t="n"/>
      <c r="N68" s="10" t="inlineStr">
        <is>
          <t>Tears of gratitude, same as gold 'so grateful for her' (model's emotion 'fear' is wrong)</t>
        </is>
      </c>
      <c r="O68" s="11" t="n"/>
      <c r="P68" s="11" t="n"/>
      <c r="Q68" s="11" t="n"/>
      <c r="R68" s="11" t="n"/>
    </row>
    <row r="69">
      <c r="A69" s="8" t="inlineStr">
        <is>
          <t>S077</t>
        </is>
      </c>
      <c r="B69" s="8" t="inlineStr">
        <is>
          <t>two emotions, two causes</t>
        </is>
      </c>
      <c r="C69" s="8" t="inlineStr">
        <is>
          <t>Mummy's surgery was today and the doctors said everything went well, I cried from relief. I had been sitting in the waiting area since 7 with Papa, and neither of us could eat anything. Every time the door opened my heart jumped. When the nurse finally came out and smiled, I just collapsed on the chair. Papa held my hand and did not say anything, he just kept nodding. I called my sister and she was screaming and crying at the same time on the phone. I am also so tired and stressed from running around the hospital since morning. There were forms to sign, medicines to buy from the other building and the billing counter was a mess. I have not eaten properly in two days and my feet are aching. But she is okay, that is what matters. I will sleep for a week after this. The hospital canteen ran out of tea by nine, so I had a packet of biscuits from the vending machine. Visiting hours ended at eight and we were allowed to stay only in the waiting area. A man at the next bench was reading a newspaper upside down and a child kept running up and down the corridor with a plastic bottle.</t>
        </is>
      </c>
      <c r="D69" s="8" t="inlineStr">
        <is>
          <t>I am</t>
        </is>
      </c>
      <c r="E69" s="8" t="inlineStr">
        <is>
          <t>stress</t>
        </is>
      </c>
      <c r="F69" s="9" t="n">
        <v>0.7511</v>
      </c>
      <c r="G69" s="9" t="n">
        <v>0.9963</v>
      </c>
      <c r="H69" s="8" t="inlineStr">
        <is>
          <t>Mummy's surgery was today and the doctors said everything went well</t>
        </is>
      </c>
      <c r="I69" s="8" t="inlineStr">
        <is>
          <t>I cried from relief [joy] | so tired and stressed [stress]</t>
        </is>
      </c>
      <c r="J69" s="8" t="inlineStr">
        <is>
          <t>no overlap with gold</t>
        </is>
      </c>
      <c r="K69" s="10" t="inlineStr">
        <is>
          <t>not an emotion</t>
        </is>
      </c>
      <c r="L69" s="10" t="n"/>
      <c r="M69" s="10" t="n"/>
      <c r="N69" s="10" t="inlineStr">
        <is>
          <t>Fragment</t>
        </is>
      </c>
      <c r="O69" s="11" t="n"/>
      <c r="P69" s="11" t="n"/>
      <c r="Q69" s="11" t="n"/>
      <c r="R69" s="11" t="n"/>
    </row>
    <row r="70">
      <c r="A70" s="8" t="inlineStr">
        <is>
          <t>S332</t>
        </is>
      </c>
      <c r="B70" s="8" t="inlineStr">
        <is>
          <t>one cause, two emotions</t>
        </is>
      </c>
      <c r="C70" s="8" t="inlineStr">
        <is>
          <t>the trek to Kedarkantha was done in five days. i felt proud and also strangely empty on the last evening. It was a steep climb on the last day and the whole camp packed up by noon.</t>
        </is>
      </c>
      <c r="D70" s="8" t="inlineStr">
        <is>
          <t>empty</t>
        </is>
      </c>
      <c r="E70" s="8" t="inlineStr">
        <is>
          <t>sadness</t>
        </is>
      </c>
      <c r="F70" s="9" t="n">
        <v>0.7488</v>
      </c>
      <c r="G70" s="9" t="n">
        <v>0.9978</v>
      </c>
      <c r="H70" s="8" t="inlineStr">
        <is>
          <t>the trek to Kedarkantha was done in five days</t>
        </is>
      </c>
      <c r="I70" s="8" t="inlineStr">
        <is>
          <t>i felt proud [pride] | strangely empty on the last evening [sadness]</t>
        </is>
      </c>
      <c r="J70" s="8" t="inlineStr">
        <is>
          <t>partly overlaps a gold span</t>
        </is>
      </c>
      <c r="K70" s="10" t="inlineStr">
        <is>
          <t>boundary of a gold span</t>
        </is>
      </c>
      <c r="L70" s="10" t="n"/>
      <c r="M70" s="10" t="n"/>
      <c r="N70" s="10" t="inlineStr">
        <is>
          <t>Shorter version of the gold span</t>
        </is>
      </c>
      <c r="O70" s="11" t="n"/>
      <c r="P70" s="11" t="n"/>
      <c r="Q70" s="11" t="n"/>
      <c r="R70" s="11" t="n"/>
    </row>
    <row r="71">
      <c r="A71" s="8" t="inlineStr">
        <is>
          <t>S203</t>
        </is>
      </c>
      <c r="B71" s="8" t="inlineStr">
        <is>
          <t>cause before emotion</t>
        </is>
      </c>
      <c r="C71" s="8" t="inlineStr">
        <is>
          <t>Aarav lent me 3000 till the stipend comes without even asking why. really thankful, i was too embarrassed to ask anyone.</t>
        </is>
      </c>
      <c r="D71" s="8" t="inlineStr">
        <is>
          <t>was too embarrassed to ask anyone</t>
        </is>
      </c>
      <c r="E71" s="8" t="inlineStr">
        <is>
          <t>guilt</t>
        </is>
      </c>
      <c r="F71" s="9" t="n">
        <v>0.7436</v>
      </c>
      <c r="G71" s="9" t="n">
        <v>0.9236</v>
      </c>
      <c r="H71" s="8" t="inlineStr">
        <is>
          <t>Aarav lent me 3000 till the stipend comes without even asking why</t>
        </is>
      </c>
      <c r="I71" s="8" t="inlineStr">
        <is>
          <t>really thankful [gratitude]</t>
        </is>
      </c>
      <c r="J71" s="8" t="inlineStr">
        <is>
          <t>no overlap with gold</t>
        </is>
      </c>
      <c r="K71" s="10" t="inlineStr">
        <is>
          <t>real emotion missed by labels</t>
        </is>
      </c>
      <c r="L71" s="10" t="inlineStr">
        <is>
          <t>guilt</t>
        </is>
      </c>
      <c r="M71" s="10" t="inlineStr">
        <is>
          <t>implicit</t>
        </is>
      </c>
      <c r="N71" s="10" t="inlineStr">
        <is>
          <t>Embarrassment about needing money is guilt in the scheme</t>
        </is>
      </c>
      <c r="O71" s="11" t="n"/>
      <c r="P71" s="11" t="n"/>
      <c r="Q71" s="11" t="n"/>
      <c r="R71" s="11" t="n"/>
    </row>
    <row r="72">
      <c r="A72" s="8" t="inlineStr">
        <is>
          <t>S014</t>
        </is>
      </c>
      <c r="B72" s="8" t="inlineStr">
        <is>
          <t>cause before emotion</t>
        </is>
      </c>
      <c r="C72" s="8" t="inlineStr">
        <is>
          <t>Our landlord increased the rent by 2000 without any notice. I am so stressed, we are already struggling. He said the society charges went up but he did not show any bill, just a message on whatsapp. He also asked us to pay in cash instead of transfer. We checked the agreement and nothing about maintenance charges was written there. My roommates and I made a spreadsheet of what we pay and what we get, which took the whole evening. We decided to talk to him together after dinner.</t>
        </is>
      </c>
      <c r="D72" s="8" t="inlineStr">
        <is>
          <t>we are already struggling</t>
        </is>
      </c>
      <c r="E72" s="8" t="inlineStr">
        <is>
          <t>stress</t>
        </is>
      </c>
      <c r="F72" s="9" t="n">
        <v>0.7376</v>
      </c>
      <c r="G72" s="9" t="n">
        <v>0.9912</v>
      </c>
      <c r="H72" s="8" t="inlineStr">
        <is>
          <t>Our landlord increased the rent by 2000 without any notice</t>
        </is>
      </c>
      <c r="I72" s="8" t="inlineStr">
        <is>
          <t>I am so stressed [stress]</t>
        </is>
      </c>
      <c r="J72" s="8" t="inlineStr">
        <is>
          <t>no overlap with gold</t>
        </is>
      </c>
      <c r="K72" s="10" t="inlineStr">
        <is>
          <t>not an emotion</t>
        </is>
      </c>
      <c r="L72" s="10" t="n"/>
      <c r="M72" s="10" t="n"/>
      <c r="N72" s="10" t="inlineStr">
        <is>
          <t>States the financial situation (context for the stress), not a feeling</t>
        </is>
      </c>
      <c r="O72" s="11" t="n"/>
      <c r="P72" s="11" t="n"/>
      <c r="Q72" s="11" t="n"/>
      <c r="R72" s="11" t="n"/>
    </row>
    <row r="73">
      <c r="A73" s="8" t="inlineStr">
        <is>
          <t>S293</t>
        </is>
      </c>
      <c r="B73" s="8" t="inlineStr">
        <is>
          <t>implicit cause</t>
        </is>
      </c>
      <c r="C73" s="8" t="inlineStr">
        <is>
          <t>I felt a wave of pride seeing my reflection in the shop window, which is weird. nothing special about the day. The bag was lying near the door and my shoes were still on. I did not move for a long time.</t>
        </is>
      </c>
      <c r="D73" s="8" t="inlineStr">
        <is>
          <t>felt a wave of pride</t>
        </is>
      </c>
      <c r="E73" s="8" t="inlineStr">
        <is>
          <t>pride</t>
        </is>
      </c>
      <c r="F73" s="9" t="n">
        <v>0.7302</v>
      </c>
      <c r="G73" s="9" t="n">
        <v>0.976</v>
      </c>
      <c r="H73" s="8" t="inlineStr">
        <is>
          <t>(implicit)</t>
        </is>
      </c>
      <c r="I73" s="8" t="inlineStr">
        <is>
          <t>I felt a wave of pride seeing my reflection in the shop window [pride]</t>
        </is>
      </c>
      <c r="J73" s="8" t="inlineStr">
        <is>
          <t>partly overlaps a gold span</t>
        </is>
      </c>
      <c r="K73" s="10" t="inlineStr">
        <is>
          <t>boundary of a gold span</t>
        </is>
      </c>
      <c r="L73" s="10" t="n"/>
      <c r="M73" s="10" t="n"/>
      <c r="N73" s="10" t="inlineStr">
        <is>
          <t>Shorter version of the gold span</t>
        </is>
      </c>
      <c r="O73" s="11" t="n"/>
      <c r="P73" s="11" t="n"/>
      <c r="Q73" s="11" t="n"/>
      <c r="R73" s="11" t="n"/>
    </row>
    <row r="74">
      <c r="A74" s="8" t="inlineStr">
        <is>
          <t>S313</t>
        </is>
      </c>
      <c r="B74" s="8" t="inlineStr">
        <is>
          <t>two emotions, two causes</t>
        </is>
      </c>
      <c r="C74" s="8" t="inlineStr">
        <is>
          <t>Mira wrote me a three page letter on my last day at the PG saying how my random cooking nights made her stay sane. I read it on the train and was so touched i could not stop smiling. Then the train crossed the city limits and i realised how far i had come from all of them, the sadness hit slowly. The letter was written in blue ink on ruled pages, with a small drawing of a pressure cooker at the end. The train was full and i held it in both hands so it would not crease.</t>
        </is>
      </c>
      <c r="D74" s="8" t="inlineStr">
        <is>
          <t>was so touched</t>
        </is>
      </c>
      <c r="E74" s="8" t="inlineStr">
        <is>
          <t>gratitude</t>
        </is>
      </c>
      <c r="F74" s="9" t="n">
        <v>0.7174</v>
      </c>
      <c r="G74" s="9" t="n">
        <v>0.9145</v>
      </c>
      <c r="H74" s="8" t="inlineStr">
        <is>
          <t>Mira wrote me a three page letter on my last day at the PG saying how my random cooking nights made her stay sane</t>
        </is>
      </c>
      <c r="I74" s="8" t="inlineStr">
        <is>
          <t>so touched i could not stop smiling [gratitude] | the sadness hit slowly [sadness]</t>
        </is>
      </c>
      <c r="J74" s="8" t="inlineStr">
        <is>
          <t>partly overlaps a gold span</t>
        </is>
      </c>
      <c r="K74" s="10" t="inlineStr">
        <is>
          <t>boundary of a gold span</t>
        </is>
      </c>
      <c r="L74" s="10" t="n"/>
      <c r="M74" s="10" t="n"/>
      <c r="N74" s="10" t="inlineStr">
        <is>
          <t>Shorter version of the gold span</t>
        </is>
      </c>
      <c r="O74" s="11" t="n"/>
      <c r="P74" s="11" t="n"/>
      <c r="Q74" s="11" t="n"/>
      <c r="R74" s="11" t="n"/>
    </row>
    <row r="75">
      <c r="A75" s="8" t="inlineStr">
        <is>
          <t>S304</t>
        </is>
      </c>
      <c r="B75" s="8" t="inlineStr">
        <is>
          <t>two emotions, two causes</t>
        </is>
      </c>
      <c r="C75" s="8" t="inlineStr">
        <is>
          <t>A stranger paid for my chai at a stall in Hampi and refused to take the money back. I was honestly stunned, nobody does that. In the evening my waitlisted train ticket got confirmed and i walked around the market so happy.</t>
        </is>
      </c>
      <c r="D75" s="8" t="inlineStr">
        <is>
          <t>i</t>
        </is>
      </c>
      <c r="E75" s="8" t="inlineStr">
        <is>
          <t>joy</t>
        </is>
      </c>
      <c r="F75" s="9" t="n">
        <v>0.6968</v>
      </c>
      <c r="G75" s="9" t="n">
        <v>0.9954</v>
      </c>
      <c r="H75" s="8" t="inlineStr">
        <is>
          <t>A stranger paid for my chai at a stall in Hampi and refused to take the money back</t>
        </is>
      </c>
      <c r="I75" s="8" t="inlineStr">
        <is>
          <t>I was honestly stunned [surprise] | so happy [joy]</t>
        </is>
      </c>
      <c r="J75" s="8" t="inlineStr">
        <is>
          <t>no overlap with gold</t>
        </is>
      </c>
      <c r="K75" s="10" t="inlineStr">
        <is>
          <t>not an emotion</t>
        </is>
      </c>
      <c r="L75" s="10" t="n"/>
      <c r="M75" s="10" t="n"/>
      <c r="N75" s="10" t="inlineStr">
        <is>
          <t>Fragment</t>
        </is>
      </c>
      <c r="O75" s="11" t="n"/>
      <c r="P75" s="11" t="n"/>
      <c r="Q75" s="11" t="n"/>
      <c r="R75" s="11" t="n"/>
    </row>
    <row r="76">
      <c r="A76" s="8" t="inlineStr">
        <is>
          <t>S060</t>
        </is>
      </c>
      <c r="B76" s="8" t="inlineStr">
        <is>
          <t>implicit cause</t>
        </is>
      </c>
      <c r="C76" s="8" t="inlineStr">
        <is>
          <t>Had a strange sinking feeling during lunch today that I forgot something important. I kept cheking my bag again n again.</t>
        </is>
      </c>
      <c r="D76" s="8" t="inlineStr">
        <is>
          <t>I forgot something important</t>
        </is>
      </c>
      <c r="E76" s="8" t="inlineStr">
        <is>
          <t>fear</t>
        </is>
      </c>
      <c r="F76" s="9" t="n">
        <v>0.6899999999999999</v>
      </c>
      <c r="G76" s="9" t="n">
        <v>0.7035</v>
      </c>
      <c r="H76" s="8" t="inlineStr">
        <is>
          <t>(implicit)</t>
        </is>
      </c>
      <c r="I76" s="8" t="inlineStr">
        <is>
          <t>a strange sinking feeling during lunch today that I forgot something important [fear]</t>
        </is>
      </c>
      <c r="J76" s="8" t="inlineStr">
        <is>
          <t>partly overlaps a gold span</t>
        </is>
      </c>
      <c r="K76" s="10" t="inlineStr">
        <is>
          <t>boundary of a gold span</t>
        </is>
      </c>
      <c r="L76" s="10" t="n"/>
      <c r="M76" s="10" t="n"/>
      <c r="N76" s="10" t="inlineStr">
        <is>
          <t>Covers the worry content of the gold span, not the feeling words</t>
        </is>
      </c>
      <c r="O76" s="11" t="n"/>
      <c r="P76" s="11" t="n"/>
      <c r="Q76" s="11" t="n"/>
      <c r="R76" s="11" t="n"/>
    </row>
    <row r="77">
      <c r="A77" s="8" t="inlineStr">
        <is>
          <t>S092</t>
        </is>
      </c>
      <c r="B77" s="8" t="inlineStr">
        <is>
          <t>emotion only</t>
        </is>
      </c>
      <c r="C77" s="8" t="inlineStr">
        <is>
          <t>So angry right now, cannot even type properly.</t>
        </is>
      </c>
      <c r="D77" s="8" t="inlineStr">
        <is>
          <t>cannot even type properly</t>
        </is>
      </c>
      <c r="E77" s="8" t="inlineStr">
        <is>
          <t>anger</t>
        </is>
      </c>
      <c r="F77" s="9" t="n">
        <v>0.6867</v>
      </c>
      <c r="G77" s="9" t="n">
        <v>0.9988</v>
      </c>
      <c r="H77" s="8" t="inlineStr">
        <is>
          <t>(implicit)</t>
        </is>
      </c>
      <c r="I77" s="8" t="inlineStr">
        <is>
          <t>So angry right now [anger]</t>
        </is>
      </c>
      <c r="J77" s="8" t="inlineStr">
        <is>
          <t>no overlap with gold</t>
        </is>
      </c>
      <c r="K77" s="10" t="inlineStr">
        <is>
          <t>restates a gold emotion</t>
        </is>
      </c>
      <c r="L77" s="10" t="n"/>
      <c r="M77" s="10" t="n"/>
      <c r="N77" s="10" t="inlineStr">
        <is>
          <t>Continues the gold anger ('cannot even type properly')</t>
        </is>
      </c>
      <c r="O77" s="11" t="n"/>
      <c r="P77" s="11" t="n"/>
      <c r="Q77" s="11" t="n"/>
      <c r="R77" s="11" t="n"/>
    </row>
    <row r="78">
      <c r="A78" s="8" t="inlineStr">
        <is>
          <t>S284</t>
        </is>
      </c>
      <c r="B78" s="8" t="inlineStr">
        <is>
          <t>implicit cause</t>
        </is>
      </c>
      <c r="C78" s="8" t="inlineStr">
        <is>
          <t>I woke up grateful. Nothing happened, i was just thinking about all the small things that are okay right now. weird feeling but nice.</t>
        </is>
      </c>
      <c r="D78" s="8" t="inlineStr">
        <is>
          <t>feeling</t>
        </is>
      </c>
      <c r="E78" s="8" t="inlineStr">
        <is>
          <t>contentment</t>
        </is>
      </c>
      <c r="F78" s="9" t="n">
        <v>0.6725</v>
      </c>
      <c r="G78" s="9" t="n">
        <v>0.8637</v>
      </c>
      <c r="H78" s="8" t="inlineStr">
        <is>
          <t>(implicit)</t>
        </is>
      </c>
      <c r="I78" s="8" t="inlineStr">
        <is>
          <t>I woke up grateful [gratitude]</t>
        </is>
      </c>
      <c r="J78" s="8" t="inlineStr">
        <is>
          <t>no overlap with gold</t>
        </is>
      </c>
      <c r="K78" s="10" t="inlineStr">
        <is>
          <t>not an emotion</t>
        </is>
      </c>
      <c r="L78" s="10" t="n"/>
      <c r="M78" s="10" t="n"/>
      <c r="N78" s="10" t="inlineStr">
        <is>
          <t>Fragment; note 'weird feeling but nice' may be a missed contentment clause</t>
        </is>
      </c>
      <c r="O78" s="11" t="n"/>
      <c r="P78" s="11" t="n"/>
      <c r="Q78" s="11" t="n"/>
      <c r="R78" s="11" t="n"/>
    </row>
    <row r="79">
      <c r="A79" s="8" t="inlineStr">
        <is>
          <t>S240</t>
        </is>
      </c>
      <c r="B79" s="8" t="inlineStr">
        <is>
          <t>cause before emotion</t>
        </is>
      </c>
      <c r="C79" s="8" t="inlineStr">
        <is>
          <t>the diet chart i got from the gym was totally wrong for me and i followed it for a week. so irritated that i trusted it blindly.</t>
        </is>
      </c>
      <c r="D79" s="8" t="inlineStr">
        <is>
          <t>trusted it</t>
        </is>
      </c>
      <c r="E79" s="8" t="inlineStr">
        <is>
          <t>anger</t>
        </is>
      </c>
      <c r="F79" s="9" t="n">
        <v>0.6543</v>
      </c>
      <c r="G79" s="9" t="n">
        <v>0.9955000000000001</v>
      </c>
      <c r="H79" s="8" t="inlineStr">
        <is>
          <t>the diet chart i got from the gym was totally wrong for me and i followed it for a week</t>
        </is>
      </c>
      <c r="I79" s="8" t="inlineStr">
        <is>
          <t>so irritated that i trusted it blindly [anger]</t>
        </is>
      </c>
      <c r="J79" s="8" t="inlineStr">
        <is>
          <t>partly overlaps a gold span</t>
        </is>
      </c>
      <c r="K79" s="10" t="inlineStr">
        <is>
          <t>boundary of a gold span</t>
        </is>
      </c>
      <c r="L79" s="10" t="n"/>
      <c r="M79" s="10" t="n"/>
      <c r="N79" s="10" t="inlineStr">
        <is>
          <t>Fragment of the gold span</t>
        </is>
      </c>
      <c r="O79" s="11" t="n"/>
      <c r="P79" s="11" t="n"/>
      <c r="Q79" s="11" t="n"/>
      <c r="R79" s="11" t="n"/>
    </row>
    <row r="80">
      <c r="A80" s="8" t="inlineStr">
        <is>
          <t>S283</t>
        </is>
      </c>
      <c r="B80" s="8" t="inlineStr">
        <is>
          <t>implicit cause</t>
        </is>
      </c>
      <c r="C80" s="8" t="inlineStr">
        <is>
          <t>feeling oddly guilty today, like i neglected something. not sure what. The walk to the mess felt long and the line looked longer. I just stood and stared at the menu board.</t>
        </is>
      </c>
      <c r="D80" s="8" t="inlineStr">
        <is>
          <t>i neglected something</t>
        </is>
      </c>
      <c r="E80" s="8" t="inlineStr">
        <is>
          <t>guilt</t>
        </is>
      </c>
      <c r="F80" s="9" t="n">
        <v>0.6523</v>
      </c>
      <c r="G80" s="9" t="n">
        <v>0.8306</v>
      </c>
      <c r="H80" s="8" t="inlineStr">
        <is>
          <t>(implicit)</t>
        </is>
      </c>
      <c r="I80" s="8" t="inlineStr">
        <is>
          <t>feeling oddly guilty today [guilt]</t>
        </is>
      </c>
      <c r="J80" s="8" t="inlineStr">
        <is>
          <t>no overlap with gold</t>
        </is>
      </c>
      <c r="K80" s="10" t="inlineStr">
        <is>
          <t>restates a gold emotion</t>
        </is>
      </c>
      <c r="L80" s="10" t="n"/>
      <c r="M80" s="10" t="n"/>
      <c r="N80" s="10" t="inlineStr">
        <is>
          <t>Elaborates the gold guilt</t>
        </is>
      </c>
      <c r="O80" s="11" t="n"/>
      <c r="P80" s="11" t="n"/>
      <c r="Q80" s="11" t="n"/>
      <c r="R80" s="11" t="n"/>
    </row>
    <row r="81">
      <c r="A81" s="8" t="inlineStr">
        <is>
          <t>S284</t>
        </is>
      </c>
      <c r="B81" s="8" t="inlineStr">
        <is>
          <t>implicit cause</t>
        </is>
      </c>
      <c r="C81" s="8" t="inlineStr">
        <is>
          <t>I woke up grateful. Nothing happened, i was just thinking about all the small things that are okay right now. weird feeling but nice.</t>
        </is>
      </c>
      <c r="D81" s="8" t="inlineStr">
        <is>
          <t>just thinking about all the small things that are okay right now</t>
        </is>
      </c>
      <c r="E81" s="8" t="inlineStr">
        <is>
          <t>gratitude</t>
        </is>
      </c>
      <c r="F81" s="9" t="n">
        <v>0.6486</v>
      </c>
      <c r="G81" s="9" t="n">
        <v>0.9506</v>
      </c>
      <c r="H81" s="8" t="inlineStr">
        <is>
          <t>(implicit)</t>
        </is>
      </c>
      <c r="I81" s="8" t="inlineStr">
        <is>
          <t>I woke up grateful [gratitude]</t>
        </is>
      </c>
      <c r="J81" s="8" t="inlineStr">
        <is>
          <t>no overlap with gold</t>
        </is>
      </c>
      <c r="K81" s="10" t="inlineStr">
        <is>
          <t>restates a gold emotion</t>
        </is>
      </c>
      <c r="L81" s="10" t="n"/>
      <c r="M81" s="10" t="n"/>
      <c r="N81" s="10" t="inlineStr">
        <is>
          <t>Elaborates the gold gratitude (also reads as its implicit cause)</t>
        </is>
      </c>
      <c r="O81" s="11" t="n"/>
      <c r="P81" s="11" t="n"/>
      <c r="Q81" s="11" t="n"/>
      <c r="R81" s="11" t="n"/>
    </row>
    <row r="82">
      <c r="A82" s="8" t="inlineStr">
        <is>
          <t>S119</t>
        </is>
      </c>
      <c r="B82" s="8" t="inlineStr">
        <is>
          <t>cause before emotion</t>
        </is>
      </c>
      <c r="C82" s="8" t="inlineStr">
        <is>
          <t>my manager forwarded my small script to the whole team as a best practice. did not see that coming at all. It was just a ten line script that renames the files and nobody had noticed it. They are asking me to present it in the next meeting.</t>
        </is>
      </c>
      <c r="D82" s="8" t="inlineStr">
        <is>
          <t>did</t>
        </is>
      </c>
      <c r="E82" s="8" t="inlineStr">
        <is>
          <t>surprise</t>
        </is>
      </c>
      <c r="F82" s="9" t="n">
        <v>0.6474</v>
      </c>
      <c r="G82" s="9" t="n">
        <v>0.9801</v>
      </c>
      <c r="H82" s="8" t="inlineStr">
        <is>
          <t>my manager forwarded my small script to the whole team as a best practice</t>
        </is>
      </c>
      <c r="I82" s="8" t="inlineStr">
        <is>
          <t>did not see that coming at all [surprise]</t>
        </is>
      </c>
      <c r="J82" s="8" t="inlineStr">
        <is>
          <t>partly overlaps a gold span</t>
        </is>
      </c>
      <c r="K82" s="10" t="inlineStr">
        <is>
          <t>boundary of a gold span</t>
        </is>
      </c>
      <c r="L82" s="10" t="n"/>
      <c r="M82" s="10" t="n"/>
      <c r="N82" s="10" t="inlineStr">
        <is>
          <t>Fragment of the gold span</t>
        </is>
      </c>
      <c r="O82" s="11" t="n"/>
      <c r="P82" s="11" t="n"/>
      <c r="Q82" s="11" t="n"/>
      <c r="R82" s="11" t="n"/>
    </row>
    <row r="83">
      <c r="A83" s="8" t="inlineStr">
        <is>
          <t>S272</t>
        </is>
      </c>
      <c r="B83" s="8" t="inlineStr">
        <is>
          <t>different sentences</t>
        </is>
      </c>
      <c r="C83" s="8" t="inlineStr">
        <is>
          <t>Slept at 10 and woke up at 6 and went for a slow walk in the park with a flask of tea. The grass was wet and a couple of old men were doing laughing yoga. nothing felt rushed. i feel like my head has finally settled. I took a flask of tea, a book and an old shawl. I met a group of kids playing cricket near the gate and stopped to watch for a few minutes. When i reached home the kettle was still warm in my bag.</t>
        </is>
      </c>
      <c r="D83" s="8" t="inlineStr">
        <is>
          <t>i feel like my</t>
        </is>
      </c>
      <c r="E83" s="8" t="inlineStr">
        <is>
          <t>contentment</t>
        </is>
      </c>
      <c r="F83" s="9" t="n">
        <v>0.6473</v>
      </c>
      <c r="G83" s="9" t="n">
        <v>0.9974</v>
      </c>
      <c r="H83" s="8" t="inlineStr">
        <is>
          <t>up at 6 and went for a slow walk in the park with a flask of tea</t>
        </is>
      </c>
      <c r="I83" s="8" t="inlineStr">
        <is>
          <t>i feel like my head has finally settled [contentment]</t>
        </is>
      </c>
      <c r="J83" s="8" t="inlineStr">
        <is>
          <t>partly overlaps a gold span</t>
        </is>
      </c>
      <c r="K83" s="10" t="inlineStr">
        <is>
          <t>boundary of a gold span</t>
        </is>
      </c>
      <c r="L83" s="10" t="n"/>
      <c r="M83" s="10" t="n"/>
      <c r="N83" s="10" t="inlineStr">
        <is>
          <t>Fragment of the gold span</t>
        </is>
      </c>
      <c r="O83" s="11" t="n"/>
      <c r="P83" s="11" t="n"/>
      <c r="Q83" s="11" t="n"/>
      <c r="R83" s="11" t="n"/>
    </row>
    <row r="84">
      <c r="A84" s="8" t="inlineStr">
        <is>
          <t>S053</t>
        </is>
      </c>
      <c r="B84" s="8" t="inlineStr">
        <is>
          <t>implicit cause</t>
        </is>
      </c>
      <c r="C84" s="8" t="inlineStr">
        <is>
          <t>Something about this morning bugged me and I cannot even explain what. Been irritated at everyone since I woke up. Even the chai tasted wrong.</t>
        </is>
      </c>
      <c r="D84" s="8" t="inlineStr">
        <is>
          <t>about this morning bugged me</t>
        </is>
      </c>
      <c r="E84" s="8" t="inlineStr">
        <is>
          <t>fear</t>
        </is>
      </c>
      <c r="F84" s="9" t="n">
        <v>0.6466</v>
      </c>
      <c r="G84" s="9" t="n">
        <v>0.4289</v>
      </c>
      <c r="H84" s="8" t="inlineStr">
        <is>
          <t>(implicit)</t>
        </is>
      </c>
      <c r="I84" s="8" t="inlineStr">
        <is>
          <t>Been irritated at everyone since I woke up [anger]</t>
        </is>
      </c>
      <c r="J84" s="8" t="inlineStr">
        <is>
          <t>no overlap with gold</t>
        </is>
      </c>
      <c r="K84" s="10" t="inlineStr">
        <is>
          <t>restates a gold emotion</t>
        </is>
      </c>
      <c r="L84" s="10" t="n"/>
      <c r="M84" s="10" t="n"/>
      <c r="N84" s="10" t="inlineStr">
        <is>
          <t>Same irritation as the gold anger (model's emotion 'fear' is wrong)</t>
        </is>
      </c>
      <c r="O84" s="11" t="n"/>
      <c r="P84" s="11" t="n"/>
      <c r="Q84" s="11" t="n"/>
      <c r="R84" s="11" t="n"/>
    </row>
    <row r="85">
      <c r="A85" s="8" t="inlineStr">
        <is>
          <t>S177</t>
        </is>
      </c>
      <c r="B85" s="8" t="inlineStr">
        <is>
          <t>two emotions, two causes</t>
        </is>
      </c>
      <c r="C85" s="8" t="inlineStr">
        <is>
          <t>i got a 92 in the entrance mock and i could not stop smiling at my laptop. three more mocks to go though, and the thought of the real exam in two weeks makes my hands cold.</t>
        </is>
      </c>
      <c r="D85" s="8" t="inlineStr">
        <is>
          <t>thought of the</t>
        </is>
      </c>
      <c r="E85" s="8" t="inlineStr">
        <is>
          <t>fear</t>
        </is>
      </c>
      <c r="F85" s="9" t="n">
        <v>0.644</v>
      </c>
      <c r="G85" s="9" t="n">
        <v>0.6911</v>
      </c>
      <c r="H85" s="8" t="inlineStr">
        <is>
          <t>real exam in two weeks</t>
        </is>
      </c>
      <c r="I85" s="8" t="inlineStr">
        <is>
          <t>i could not stop smiling at my laptop [joy] | makes my hands cold [fear]</t>
        </is>
      </c>
      <c r="J85" s="8" t="inlineStr">
        <is>
          <t>no overlap with gold</t>
        </is>
      </c>
      <c r="K85" s="10" t="inlineStr">
        <is>
          <t>not an emotion</t>
        </is>
      </c>
      <c r="L85" s="10" t="n"/>
      <c r="M85" s="10" t="n"/>
      <c r="N85" s="10" t="inlineStr">
        <is>
          <t>Fragment</t>
        </is>
      </c>
      <c r="O85" s="11" t="n"/>
      <c r="P85" s="11" t="n"/>
      <c r="Q85" s="11" t="n"/>
      <c r="R85" s="11" t="n"/>
    </row>
    <row r="86">
      <c r="A86" s="8" t="inlineStr">
        <is>
          <t>S110</t>
        </is>
      </c>
      <c r="B86" s="8" t="inlineStr">
        <is>
          <t>cause before emotion</t>
        </is>
      </c>
      <c r="C86" s="8" t="inlineStr">
        <is>
          <t>cooked a full meal for six people for my birthday party and nobody complained. so proud of myself, i never thought i could. I started at noon with the vegetables and made lists on the back of an old notebook so that nothing was missed. Two of the burners were not working so i had to make the rice and the curry one after the other in the shared kitchen. The guests came at seven and the table was too small so we ate in two batches. By ten the vessels were piled up in the sink and my feet were aching. We cut the cake near midnight and took a lot of photos in the corridor.</t>
        </is>
      </c>
      <c r="D86" s="8" t="inlineStr">
        <is>
          <t>aching</t>
        </is>
      </c>
      <c r="E86" s="8" t="inlineStr">
        <is>
          <t>stress</t>
        </is>
      </c>
      <c r="F86" s="9" t="n">
        <v>0.642</v>
      </c>
      <c r="G86" s="9" t="n">
        <v>0.6915</v>
      </c>
      <c r="H86" s="8" t="inlineStr">
        <is>
          <t>cooked a full meal for six people for my birthday party and nobody complained</t>
        </is>
      </c>
      <c r="I86" s="8" t="inlineStr">
        <is>
          <t>so proud of myself [pride]</t>
        </is>
      </c>
      <c r="J86" s="8" t="inlineStr">
        <is>
          <t>no overlap with gold</t>
        </is>
      </c>
      <c r="K86" s="10" t="inlineStr">
        <is>
          <t>not an emotion</t>
        </is>
      </c>
      <c r="L86" s="10" t="n"/>
      <c r="M86" s="10" t="n"/>
      <c r="N86" s="10" t="inlineStr">
        <is>
          <t>Physical tiredness, not an emotion</t>
        </is>
      </c>
      <c r="O86" s="11" t="n"/>
      <c r="P86" s="11" t="n"/>
      <c r="Q86" s="11" t="n"/>
      <c r="R86" s="11" t="n"/>
    </row>
    <row r="87">
      <c r="A87" s="8" t="inlineStr">
        <is>
          <t>S131</t>
        </is>
      </c>
      <c r="B87" s="8" t="inlineStr">
        <is>
          <t>different sentences</t>
        </is>
      </c>
      <c r="C87" s="8" t="inlineStr">
        <is>
          <t>i have been skipping breakfast for two weeks because i wake up late. today the nurse at the health centre checked my bp and said it is low. i honestly got scared hearing that, i dont want to end up fainting in class. i bought bananas and oats on the way back and put an alarm for 7.</t>
        </is>
      </c>
      <c r="D87" s="8" t="inlineStr">
        <is>
          <t>i dont want to end up fainting</t>
        </is>
      </c>
      <c r="E87" s="8" t="inlineStr">
        <is>
          <t>fear</t>
        </is>
      </c>
      <c r="F87" s="9" t="n">
        <v>0.6373</v>
      </c>
      <c r="G87" s="9" t="n">
        <v>0.9922</v>
      </c>
      <c r="H87" s="8" t="inlineStr">
        <is>
          <t>the nurse at the health centre checked my bp and said it is low</t>
        </is>
      </c>
      <c r="I87" s="8" t="inlineStr">
        <is>
          <t>i honestly got scared hearing that [fear]</t>
        </is>
      </c>
      <c r="J87" s="8" t="inlineStr">
        <is>
          <t>no overlap with gold</t>
        </is>
      </c>
      <c r="K87" s="10" t="inlineStr">
        <is>
          <t>restates a gold emotion</t>
        </is>
      </c>
      <c r="L87" s="10" t="n"/>
      <c r="M87" s="10" t="n"/>
      <c r="N87" s="10" t="inlineStr">
        <is>
          <t>Same fear as the gold clause</t>
        </is>
      </c>
      <c r="O87" s="11" t="n"/>
      <c r="P87" s="11" t="n"/>
      <c r="Q87" s="11" t="n"/>
      <c r="R87" s="11" t="n"/>
    </row>
    <row r="88">
      <c r="A88" s="8" t="inlineStr">
        <is>
          <t>S281</t>
        </is>
      </c>
      <c r="B88" s="8" t="inlineStr">
        <is>
          <t>implicit cause</t>
        </is>
      </c>
      <c r="C88" s="8" t="inlineStr">
        <is>
          <t>so cranky since morning, snapped at the first person who spoke to me and felt silly after. dont know where this mood came from.</t>
        </is>
      </c>
      <c r="D88" s="8" t="inlineStr">
        <is>
          <t>silly</t>
        </is>
      </c>
      <c r="E88" s="8" t="inlineStr">
        <is>
          <t>guilt</t>
        </is>
      </c>
      <c r="F88" s="9" t="n">
        <v>0.6293</v>
      </c>
      <c r="G88" s="9" t="n">
        <v>0.8342000000000001</v>
      </c>
      <c r="H88" s="8" t="inlineStr">
        <is>
          <t>(implicit)</t>
        </is>
      </c>
      <c r="I88" s="8" t="inlineStr">
        <is>
          <t>so cranky since morning [anger]</t>
        </is>
      </c>
      <c r="J88" s="8" t="inlineStr">
        <is>
          <t>no overlap with gold</t>
        </is>
      </c>
      <c r="K88" s="10" t="inlineStr">
        <is>
          <t>real emotion missed by labels</t>
        </is>
      </c>
      <c r="L88" s="10" t="inlineStr">
        <is>
          <t>guilt</t>
        </is>
      </c>
      <c r="M88" s="10" t="inlineStr">
        <is>
          <t>snapped at the first person who spoke to me</t>
        </is>
      </c>
      <c r="N88" s="10" t="inlineStr">
        <is>
          <t>Feeling silly after snapping is embarrassment, which is guilt in the scheme</t>
        </is>
      </c>
      <c r="O88" s="11" t="n"/>
      <c r="P88" s="11" t="n"/>
      <c r="Q88" s="11" t="n"/>
      <c r="R88" s="11" t="n"/>
    </row>
    <row r="89">
      <c r="A89" s="8" t="inlineStr">
        <is>
          <t>S285</t>
        </is>
      </c>
      <c r="B89" s="8" t="inlineStr">
        <is>
          <t>implicit cause</t>
        </is>
      </c>
      <c r="C89" s="8" t="inlineStr">
        <is>
          <t>my hands are cold and my heart is thudding for no reason. sitting in the corridor trying to breathe slow. anxious about nothing.</t>
        </is>
      </c>
      <c r="D89" s="8" t="inlineStr">
        <is>
          <t>heart is thudding for no reason</t>
        </is>
      </c>
      <c r="E89" s="8" t="inlineStr">
        <is>
          <t>fear</t>
        </is>
      </c>
      <c r="F89" s="9" t="n">
        <v>0.6217</v>
      </c>
      <c r="G89" s="9" t="n">
        <v>0.8925</v>
      </c>
      <c r="H89" s="8" t="inlineStr">
        <is>
          <t>(implicit)</t>
        </is>
      </c>
      <c r="I89" s="8" t="inlineStr">
        <is>
          <t>anxious about nothing [fear]</t>
        </is>
      </c>
      <c r="J89" s="8" t="inlineStr">
        <is>
          <t>no overlap with gold</t>
        </is>
      </c>
      <c r="K89" s="10" t="inlineStr">
        <is>
          <t>restates a gold emotion</t>
        </is>
      </c>
      <c r="L89" s="10" t="n"/>
      <c r="M89" s="10" t="n"/>
      <c r="N89" s="10" t="inlineStr">
        <is>
          <t>Physical sign of the gold anxiety</t>
        </is>
      </c>
      <c r="O89" s="11" t="n"/>
      <c r="P89" s="11" t="n"/>
      <c r="Q89" s="11" t="n"/>
      <c r="R89" s="11" t="n"/>
    </row>
    <row r="90">
      <c r="A90" s="8" t="inlineStr">
        <is>
          <t>S070</t>
        </is>
      </c>
      <c r="B90" s="8" t="inlineStr">
        <is>
          <t>two emotions, two causes</t>
        </is>
      </c>
      <c r="C90" s="8" t="inlineStr">
        <is>
          <t>My girlfriend lied to me about where she was last Friday and I found out through Instagram. I am so angry. At the same time I feel guilty for checking her profile in the first place. I do not know which one of us is more at fault.</t>
        </is>
      </c>
      <c r="D90" s="8" t="inlineStr">
        <is>
          <t>in the first place</t>
        </is>
      </c>
      <c r="E90" s="8" t="inlineStr">
        <is>
          <t>guilt</t>
        </is>
      </c>
      <c r="F90" s="9" t="n">
        <v>0.6172</v>
      </c>
      <c r="G90" s="9" t="n">
        <v>0.9959</v>
      </c>
      <c r="H90" s="8" t="inlineStr">
        <is>
          <t>My girlfriend lied to me about where she was last Friday and I found out through Instagram</t>
        </is>
      </c>
      <c r="I90" s="8" t="inlineStr">
        <is>
          <t>I am so angry [anger] | I feel guilty [guilt]</t>
        </is>
      </c>
      <c r="J90" s="8" t="inlineStr">
        <is>
          <t>no overlap with gold</t>
        </is>
      </c>
      <c r="K90" s="10" t="inlineStr">
        <is>
          <t>not an emotion</t>
        </is>
      </c>
      <c r="L90" s="10" t="n"/>
      <c r="M90" s="10" t="n"/>
      <c r="N90" s="10" t="inlineStr">
        <is>
          <t>Fragment</t>
        </is>
      </c>
      <c r="O90" s="11" t="n"/>
      <c r="P90" s="11" t="n"/>
      <c r="Q90" s="11" t="n"/>
      <c r="R90" s="11" t="n"/>
    </row>
    <row r="91">
      <c r="A91" s="8" t="inlineStr">
        <is>
          <t>S275</t>
        </is>
      </c>
      <c r="B91" s="8" t="inlineStr">
        <is>
          <t>different sentences</t>
        </is>
      </c>
      <c r="C91" s="8" t="inlineStr">
        <is>
          <t>It was my last day at the old flat. i walked through every room one more time and took a photo of the window where i used to sit. I left the keys on the table and closed the door softly. i keep feeling a lump in my throat, i did not think i would miss it this much.</t>
        </is>
      </c>
      <c r="D91" s="8" t="inlineStr">
        <is>
          <t>miss it this much</t>
        </is>
      </c>
      <c r="E91" s="8" t="inlineStr">
        <is>
          <t>sadness</t>
        </is>
      </c>
      <c r="F91" s="9" t="n">
        <v>0.6124000000000001</v>
      </c>
      <c r="G91" s="9" t="n">
        <v>0.9966</v>
      </c>
      <c r="H91" s="8" t="inlineStr">
        <is>
          <t>It was my last day at the old flat</t>
        </is>
      </c>
      <c r="I91" s="8" t="inlineStr">
        <is>
          <t>i keep feeling a lump in my throat [sadness]</t>
        </is>
      </c>
      <c r="J91" s="8" t="inlineStr">
        <is>
          <t>no overlap with gold</t>
        </is>
      </c>
      <c r="K91" s="10" t="inlineStr">
        <is>
          <t>restates a gold emotion</t>
        </is>
      </c>
      <c r="L91" s="10" t="n"/>
      <c r="M91" s="10" t="n"/>
      <c r="N91" s="10" t="inlineStr">
        <is>
          <t>Same sadness about leaving the flat as the gold clause</t>
        </is>
      </c>
      <c r="O91" s="11" t="n"/>
      <c r="P91" s="11" t="n"/>
      <c r="Q91" s="11" t="n"/>
      <c r="R91" s="11" t="n"/>
    </row>
    <row r="92">
      <c r="A92" s="8" t="inlineStr">
        <is>
          <t>S086</t>
        </is>
      </c>
      <c r="B92" s="8" t="inlineStr">
        <is>
          <t>one cause, two emotions</t>
        </is>
      </c>
      <c r="C92" s="8" t="inlineStr">
        <is>
          <t>Saw my name on the interview shortlist for Infosys. So excited and nervous at the same time. The list is on the department board and I took a photo of it in case it gets removed. The interviews will be held in the seminar hall.</t>
        </is>
      </c>
      <c r="D92" s="8" t="inlineStr">
        <is>
          <t>So excited and nervous</t>
        </is>
      </c>
      <c r="E92" s="8" t="inlineStr">
        <is>
          <t>joy</t>
        </is>
      </c>
      <c r="F92" s="9" t="n">
        <v>0.6095</v>
      </c>
      <c r="G92" s="9" t="n">
        <v>0.2876</v>
      </c>
      <c r="H92" s="8" t="inlineStr">
        <is>
          <t>Saw my name on the interview shortlist for Infosys</t>
        </is>
      </c>
      <c r="I92" s="8" t="inlineStr">
        <is>
          <t>So excited [joy] | nervous at the same time [fear]</t>
        </is>
      </c>
      <c r="J92" s="8" t="inlineStr">
        <is>
          <t>partly overlaps a gold span</t>
        </is>
      </c>
      <c r="K92" s="10" t="inlineStr">
        <is>
          <t>boundary of a gold span</t>
        </is>
      </c>
      <c r="L92" s="10" t="n"/>
      <c r="M92" s="10" t="n"/>
      <c r="N92" s="10" t="inlineStr">
        <is>
          <t>Merges the two gold emotions (excited + nervous)</t>
        </is>
      </c>
      <c r="O92" s="11" t="n"/>
      <c r="P92" s="11" t="n"/>
      <c r="Q92" s="11" t="n"/>
      <c r="R92" s="11" t="n"/>
    </row>
    <row r="93">
      <c r="A93" s="8" t="inlineStr">
        <is>
          <t>S267</t>
        </is>
      </c>
      <c r="B93" s="8" t="inlineStr">
        <is>
          <t>different sentences</t>
        </is>
      </c>
      <c r="C93" s="8" t="inlineStr">
        <is>
          <t>The placement cell announced the aptitude test for Wipro on thursday. I have not touched quantitative aptitude since first year and the syllabus is huge. I opened a practice paper and got three out of twenty right. my palms are sweaty and i keep checking the clock, really scared i will fail.</t>
        </is>
      </c>
      <c r="D93" s="8" t="inlineStr">
        <is>
          <t>keep checking the clock</t>
        </is>
      </c>
      <c r="E93" s="8" t="inlineStr">
        <is>
          <t>fear</t>
        </is>
      </c>
      <c r="F93" s="9" t="n">
        <v>0.6</v>
      </c>
      <c r="G93" s="9" t="n">
        <v>0.5279</v>
      </c>
      <c r="H93" s="8" t="inlineStr">
        <is>
          <t>The placement cell announced the aptitude test for Wipro on thursday</t>
        </is>
      </c>
      <c r="I93" s="8" t="inlineStr">
        <is>
          <t>really scared i will fail [fear]</t>
        </is>
      </c>
      <c r="J93" s="8" t="inlineStr">
        <is>
          <t>no overlap with gold</t>
        </is>
      </c>
      <c r="K93" s="10" t="inlineStr">
        <is>
          <t>restates a gold emotion</t>
        </is>
      </c>
      <c r="L93" s="10" t="n"/>
      <c r="M93" s="10" t="n"/>
      <c r="N93" s="10" t="inlineStr">
        <is>
          <t>Behavioural sign of the gold fear</t>
        </is>
      </c>
      <c r="O93" s="11" t="n"/>
      <c r="P93" s="11" t="n"/>
      <c r="Q93" s="11" t="n"/>
      <c r="R93" s="11" t="n"/>
    </row>
    <row r="94">
      <c r="A94" s="8" t="inlineStr">
        <is>
          <t>S324</t>
        </is>
      </c>
      <c r="B94" s="8" t="inlineStr">
        <is>
          <t>two emotions, two causes</t>
        </is>
      </c>
      <c r="C94" s="8" t="inlineStr">
        <is>
          <t>I completed my 30 day workout streak without missing a day and felt so proud i posted it on my story. A week later my knee gave up and the scan said no running for a month. I just stared at my shoes and felt miserable.</t>
        </is>
      </c>
      <c r="D94" s="8" t="inlineStr">
        <is>
          <t>it</t>
        </is>
      </c>
      <c r="E94" s="8" t="inlineStr">
        <is>
          <t>pride</t>
        </is>
      </c>
      <c r="F94" s="9" t="n">
        <v>0.5933</v>
      </c>
      <c r="G94" s="9" t="n">
        <v>0.9877</v>
      </c>
      <c r="H94" s="8" t="inlineStr">
        <is>
          <t>I completed my 30 day workout streak without missing a day</t>
        </is>
      </c>
      <c r="I94" s="8" t="inlineStr">
        <is>
          <t>felt so proud i posted it on my story [pride] | felt miserable [sadness]</t>
        </is>
      </c>
      <c r="J94" s="8" t="inlineStr">
        <is>
          <t>partly overlaps a gold span</t>
        </is>
      </c>
      <c r="K94" s="10" t="inlineStr">
        <is>
          <t>not an emotion</t>
        </is>
      </c>
      <c r="L94" s="10" t="n"/>
      <c r="M94" s="10" t="n"/>
      <c r="N94" s="10" t="inlineStr">
        <is>
          <t>Fragment</t>
        </is>
      </c>
      <c r="O94" s="11" t="n"/>
      <c r="P94" s="11" t="n"/>
      <c r="Q94" s="11" t="n"/>
      <c r="R94" s="11" t="n"/>
    </row>
    <row r="95">
      <c r="A95" s="8" t="inlineStr">
        <is>
          <t>S043</t>
        </is>
      </c>
      <c r="B95" s="8" t="inlineStr">
        <is>
          <t>different sentences</t>
        </is>
      </c>
      <c r="C95" s="8" t="inlineStr">
        <is>
          <t>Papa has been working night shifts since March and he looks so tired these days. He still calls me every morning and asks if I ate properly. Yesterday I heard him cough for a long time on the phone and he said it is nothing. I wish I could do something for him but I cannot even pay my own fees. I feel so helpless.</t>
        </is>
      </c>
      <c r="D95" s="8" t="inlineStr">
        <is>
          <t>so tired</t>
        </is>
      </c>
      <c r="E95" s="8" t="inlineStr">
        <is>
          <t>stress</t>
        </is>
      </c>
      <c r="F95" s="9" t="n">
        <v>0.5826</v>
      </c>
      <c r="G95" s="9" t="n">
        <v>0.4982</v>
      </c>
      <c r="H95" s="8" t="inlineStr">
        <is>
          <t>(implicit)</t>
        </is>
      </c>
      <c r="I95" s="8" t="inlineStr">
        <is>
          <t>I feel so helpless [sadness]</t>
        </is>
      </c>
      <c r="J95" s="8" t="inlineStr">
        <is>
          <t>no overlap with gold</t>
        </is>
      </c>
      <c r="K95" s="10" t="inlineStr">
        <is>
          <t>not an emotion</t>
        </is>
      </c>
      <c r="L95" s="10" t="n"/>
      <c r="M95" s="10" t="n"/>
      <c r="N95" s="10" t="inlineStr">
        <is>
          <t>Describes Papa, not the writer's feeling</t>
        </is>
      </c>
      <c r="O95" s="11" t="n"/>
      <c r="P95" s="11" t="n"/>
      <c r="Q95" s="11" t="n"/>
      <c r="R95" s="11" t="n"/>
    </row>
    <row r="96">
      <c r="A96" s="8" t="inlineStr">
        <is>
          <t>S040</t>
        </is>
      </c>
      <c r="B96" s="8" t="inlineStr">
        <is>
          <t>different sentences</t>
        </is>
      </c>
      <c r="C96" s="8" t="inlineStr">
        <is>
          <t>Spent the whole Saturday cleaning my room and sorting old notes. Found my school diary in the cupboard, behind two broken chargers, and read it twice. The handwriting is so bad and the plans I made at 14 are hilarious. There was a page where I wrote that I will become an astronaut by 25. I am smiling as I write this, such sweet memories.</t>
        </is>
      </c>
      <c r="D96" s="8" t="inlineStr">
        <is>
          <t>am smiling</t>
        </is>
      </c>
      <c r="E96" s="8" t="inlineStr">
        <is>
          <t>joy</t>
        </is>
      </c>
      <c r="F96" s="9" t="n">
        <v>0.5758</v>
      </c>
      <c r="G96" s="9" t="n">
        <v>0.9973</v>
      </c>
      <c r="H96" s="8" t="inlineStr">
        <is>
          <t>wrote that I will become an astronaut by 25</t>
        </is>
      </c>
      <c r="I96" s="8" t="inlineStr">
        <is>
          <t>I am smiling as I write this, such sweet memories [contentment]</t>
        </is>
      </c>
      <c r="J96" s="8" t="inlineStr">
        <is>
          <t>partly overlaps a gold span</t>
        </is>
      </c>
      <c r="K96" s="10" t="inlineStr">
        <is>
          <t>boundary of a gold span</t>
        </is>
      </c>
      <c r="L96" s="10" t="n"/>
      <c r="M96" s="10" t="n"/>
      <c r="N96" s="10" t="inlineStr">
        <is>
          <t>Fragment of the gold span</t>
        </is>
      </c>
      <c r="O96" s="11" t="n"/>
      <c r="P96" s="11" t="n"/>
      <c r="Q96" s="11" t="n"/>
      <c r="R96" s="11" t="n"/>
    </row>
    <row r="97">
      <c r="A97" s="8" t="inlineStr">
        <is>
          <t>S236</t>
        </is>
      </c>
      <c r="B97" s="8" t="inlineStr">
        <is>
          <t>cause before emotion</t>
        </is>
      </c>
      <c r="C97" s="8" t="inlineStr">
        <is>
          <t>Sana said we need to talk about something important tonight. my mind is racing and i cannot focus on anything. scared it is bad news.</t>
        </is>
      </c>
      <c r="D97" s="8" t="inlineStr">
        <is>
          <t>my mind is racing</t>
        </is>
      </c>
      <c r="E97" s="8" t="inlineStr">
        <is>
          <t>stress</t>
        </is>
      </c>
      <c r="F97" s="9" t="n">
        <v>0.5708</v>
      </c>
      <c r="G97" s="9" t="n">
        <v>0.9757</v>
      </c>
      <c r="H97" s="8" t="inlineStr">
        <is>
          <t>(implicit)</t>
        </is>
      </c>
      <c r="I97" s="8" t="inlineStr">
        <is>
          <t>scared it is bad news [fear]</t>
        </is>
      </c>
      <c r="J97" s="8" t="inlineStr">
        <is>
          <t>no overlap with gold</t>
        </is>
      </c>
      <c r="K97" s="10" t="inlineStr">
        <is>
          <t>restates a gold emotion</t>
        </is>
      </c>
      <c r="L97" s="10" t="n"/>
      <c r="M97" s="10" t="n"/>
      <c r="N97" s="10" t="inlineStr">
        <is>
          <t>Same fear as gold 'scared it is bad news'</t>
        </is>
      </c>
      <c r="O97" s="11" t="n"/>
      <c r="P97" s="11" t="n"/>
      <c r="Q97" s="11" t="n"/>
      <c r="R97" s="11" t="n"/>
    </row>
    <row r="98">
      <c r="A98" s="8" t="inlineStr">
        <is>
          <t>S328</t>
        </is>
      </c>
      <c r="B98" s="8" t="inlineStr">
        <is>
          <t>two emotions, two causes</t>
        </is>
      </c>
      <c r="C98" s="8" t="inlineStr">
        <is>
          <t>I booked a solo trip to Manali, my first ever, and i have been jumping around the room since. Reading the weather updates about landslides made my heart sink though and i keep refreshing them, really worried.</t>
        </is>
      </c>
      <c r="D98" s="8" t="inlineStr">
        <is>
          <t>i</t>
        </is>
      </c>
      <c r="E98" s="8" t="inlineStr">
        <is>
          <t>joy</t>
        </is>
      </c>
      <c r="F98" s="9" t="n">
        <v>0.5667</v>
      </c>
      <c r="G98" s="9" t="n">
        <v>0.9779</v>
      </c>
      <c r="H98" s="8" t="inlineStr">
        <is>
          <t>I booked a solo trip to Manali, my first ever</t>
        </is>
      </c>
      <c r="I98" s="8" t="inlineStr">
        <is>
          <t>i have been jumping around the room since [joy] | really worried [fear]</t>
        </is>
      </c>
      <c r="J98" s="8" t="inlineStr">
        <is>
          <t>partly overlaps a gold span</t>
        </is>
      </c>
      <c r="K98" s="10" t="inlineStr">
        <is>
          <t>not an emotion</t>
        </is>
      </c>
      <c r="L98" s="10" t="n"/>
      <c r="M98" s="10" t="n"/>
      <c r="N98" s="10" t="inlineStr">
        <is>
          <t>Fragment</t>
        </is>
      </c>
      <c r="O98" s="11" t="n"/>
      <c r="P98" s="11" t="n"/>
      <c r="Q98" s="11" t="n"/>
      <c r="R98" s="11" t="n"/>
    </row>
    <row r="99">
      <c r="A99" s="8" t="inlineStr">
        <is>
          <t>S114</t>
        </is>
      </c>
      <c r="B99" s="8" t="inlineStr">
        <is>
          <t>cause before emotion</t>
        </is>
      </c>
      <c r="C99" s="8" t="inlineStr">
        <is>
          <t>have a fever since last night and the viva is in two days. so stressed, cant afford to miss it and cant even sit up straight. The thermometer said 101 and i took two tablets and drank lots of water but the fever did not come down. The viva is on the whole syllabus of the semester and the file is not even complete. I tried to read a chapter in bed and kept losing the lines. The clinic opens only at ten and i have to stand in the queue again. My roommates brought me soup from the mess and left it near the bed.</t>
        </is>
      </c>
      <c r="D99" s="8" t="inlineStr">
        <is>
          <t>it</t>
        </is>
      </c>
      <c r="E99" s="8" t="inlineStr">
        <is>
          <t>stress</t>
        </is>
      </c>
      <c r="F99" s="9" t="n">
        <v>0.5605</v>
      </c>
      <c r="G99" s="9" t="n">
        <v>0.9847</v>
      </c>
      <c r="H99" s="8" t="inlineStr">
        <is>
          <t>have a fever since last night and the viva is in two days</t>
        </is>
      </c>
      <c r="I99" s="8" t="inlineStr">
        <is>
          <t>so stressed [stress]</t>
        </is>
      </c>
      <c r="J99" s="8" t="inlineStr">
        <is>
          <t>no overlap with gold</t>
        </is>
      </c>
      <c r="K99" s="10" t="inlineStr">
        <is>
          <t>not an emotion</t>
        </is>
      </c>
      <c r="L99" s="10" t="n"/>
      <c r="M99" s="10" t="n"/>
      <c r="N99" s="10" t="inlineStr">
        <is>
          <t>Fragment</t>
        </is>
      </c>
      <c r="O99" s="11" t="n"/>
      <c r="P99" s="11" t="n"/>
      <c r="Q99" s="11" t="n"/>
      <c r="R99" s="11" t="n"/>
    </row>
    <row r="100">
      <c r="A100" s="8" t="inlineStr">
        <is>
          <t>S035</t>
        </is>
      </c>
      <c r="B100" s="8" t="inlineStr">
        <is>
          <t>cause after emotion</t>
        </is>
      </c>
      <c r="C100" s="8" t="inlineStr">
        <is>
          <t>I was really surprised because the professor actually remembered my name from the very first lecture. She said it in class when she was handing back the sheets and I almost dropped my pen. Most people in the batch have never even spoken to her.</t>
        </is>
      </c>
      <c r="D100" s="8" t="inlineStr">
        <is>
          <t>dropped my</t>
        </is>
      </c>
      <c r="E100" s="8" t="inlineStr">
        <is>
          <t>fear</t>
        </is>
      </c>
      <c r="F100" s="9" t="n">
        <v>0.5590000000000001</v>
      </c>
      <c r="G100" s="9" t="n">
        <v>0.981</v>
      </c>
      <c r="H100" s="8" t="inlineStr">
        <is>
          <t>the professor actually remembered my name from the very first lecture</t>
        </is>
      </c>
      <c r="I100" s="8" t="inlineStr">
        <is>
          <t>I was really surprised [surprise]</t>
        </is>
      </c>
      <c r="J100" s="8" t="inlineStr">
        <is>
          <t>no overlap with gold</t>
        </is>
      </c>
      <c r="K100" s="10" t="inlineStr">
        <is>
          <t>not an emotion</t>
        </is>
      </c>
      <c r="L100" s="10" t="n"/>
      <c r="M100" s="10" t="n"/>
      <c r="N100" s="10" t="inlineStr">
        <is>
          <t>Fragment</t>
        </is>
      </c>
      <c r="O100" s="11" t="n"/>
      <c r="P100" s="11" t="n"/>
      <c r="Q100" s="11" t="n"/>
      <c r="R100" s="11" t="n"/>
    </row>
    <row r="101">
      <c r="A101" s="8" t="inlineStr">
        <is>
          <t>S251</t>
        </is>
      </c>
      <c r="B101" s="8" t="inlineStr">
        <is>
          <t>cause after emotion</t>
        </is>
      </c>
      <c r="C101" s="8" t="inlineStr">
        <is>
          <t>so lonely in this new city since everyone from my batch got posted to other places. I spent the evening sitting by the window with a cup of tea. The messages kept coming but i left them unread.</t>
        </is>
      </c>
      <c r="D101" s="8" t="inlineStr">
        <is>
          <t>so lonely</t>
        </is>
      </c>
      <c r="E101" s="8" t="inlineStr">
        <is>
          <t>sadness</t>
        </is>
      </c>
      <c r="F101" s="9" t="n">
        <v>0.5584</v>
      </c>
      <c r="G101" s="9" t="n">
        <v>0.314</v>
      </c>
      <c r="H101" s="8" t="inlineStr">
        <is>
          <t>everyone from my batch got posted to other places</t>
        </is>
      </c>
      <c r="I101" s="8" t="inlineStr">
        <is>
          <t>so lonely in this new city [sadness]</t>
        </is>
      </c>
      <c r="J101" s="8" t="inlineStr">
        <is>
          <t>partly overlaps a gold span</t>
        </is>
      </c>
      <c r="K101" s="10" t="inlineStr">
        <is>
          <t>boundary of a gold span</t>
        </is>
      </c>
      <c r="L101" s="10" t="n"/>
      <c r="M101" s="10" t="n"/>
      <c r="N101" s="10" t="inlineStr">
        <is>
          <t>Shorter version of the gold span</t>
        </is>
      </c>
      <c r="O101" s="11" t="n"/>
      <c r="P101" s="11" t="n"/>
      <c r="Q101" s="11" t="n"/>
      <c r="R101" s="11" t="n"/>
    </row>
    <row r="102">
      <c r="A102" s="8" t="inlineStr">
        <is>
          <t>S260</t>
        </is>
      </c>
      <c r="B102" s="8" t="inlineStr">
        <is>
          <t>different sentences</t>
        </is>
      </c>
      <c r="C102" s="8" t="inlineStr">
        <is>
          <t>Our paper was accepted at the student conference in Delhi after two rounds of revision. Rohit and I had rewritten the methods section four times. The reviewer comments were tough and i had cried over the second one. Today the final mail came with a single line, accepted. I read it, closed the laptop, opened it again and read it again. I walked around the hostel corridor for ten minutes just smiling at nothing. honestly so proud of both of us, it feels like all those late nights counted for something.</t>
        </is>
      </c>
      <c r="D102" s="8" t="inlineStr">
        <is>
          <t>cried</t>
        </is>
      </c>
      <c r="E102" s="8" t="inlineStr">
        <is>
          <t>fear</t>
        </is>
      </c>
      <c r="F102" s="9" t="n">
        <v>0.5548</v>
      </c>
      <c r="G102" s="9" t="n">
        <v>0.3328</v>
      </c>
      <c r="H102" s="8" t="inlineStr">
        <is>
          <t>Our paper was accepted at the student conference in Delhi after two rounds of revision</t>
        </is>
      </c>
      <c r="I102" s="8" t="inlineStr">
        <is>
          <t>honestly so proud of both of us [pride]</t>
        </is>
      </c>
      <c r="J102" s="8" t="inlineStr">
        <is>
          <t>no overlap with gold</t>
        </is>
      </c>
      <c r="K102" s="10" t="inlineStr">
        <is>
          <t>real emotion missed by labels</t>
        </is>
      </c>
      <c r="L102" s="10" t="inlineStr">
        <is>
          <t>sadness</t>
        </is>
      </c>
      <c r="M102" s="10" t="inlineStr">
        <is>
          <t>The reviewer comments were tough</t>
        </is>
      </c>
      <c r="N102" s="10" t="inlineStr">
        <is>
          <t>Past crying over the reviews; full clause would be 'i had cried over the second one'. Decide whether past feelings are labelled</t>
        </is>
      </c>
      <c r="O102" s="11" t="n"/>
      <c r="P102" s="11" t="n"/>
      <c r="Q102" s="11" t="n"/>
      <c r="R102" s="11" t="n"/>
    </row>
    <row r="103">
      <c r="A103" s="8" t="inlineStr">
        <is>
          <t>S189</t>
        </is>
      </c>
      <c r="B103" s="8" t="inlineStr">
        <is>
          <t>one cause, two emotions</t>
        </is>
      </c>
      <c r="C103" s="8" t="inlineStr">
        <is>
          <t>the professor announced the project groups and i got paired with someone i have never spoken to. excited to meet someone new and nervous at the same time. i spent the break looking for his name on the class list.</t>
        </is>
      </c>
      <c r="D103" s="8" t="inlineStr">
        <is>
          <t>and nervous</t>
        </is>
      </c>
      <c r="E103" s="8" t="inlineStr">
        <is>
          <t>surprise</t>
        </is>
      </c>
      <c r="F103" s="9" t="n">
        <v>0.5488</v>
      </c>
      <c r="G103" s="9" t="n">
        <v>0.17</v>
      </c>
      <c r="H103" s="8" t="inlineStr">
        <is>
          <t>the professor announced the project groups and i got paired with someone i have never spoken to</t>
        </is>
      </c>
      <c r="I103" s="8" t="inlineStr">
        <is>
          <t>excited to meet someone new [joy] | nervous at the same time [fear]</t>
        </is>
      </c>
      <c r="J103" s="8" t="inlineStr">
        <is>
          <t>partly overlaps a gold span</t>
        </is>
      </c>
      <c r="K103" s="10" t="inlineStr">
        <is>
          <t>boundary of a gold span</t>
        </is>
      </c>
      <c r="L103" s="10" t="n"/>
      <c r="M103" s="10" t="n"/>
      <c r="N103" s="10" t="inlineStr">
        <is>
          <t>Fragment of the gold span</t>
        </is>
      </c>
      <c r="O103" s="11" t="n"/>
      <c r="P103" s="11" t="n"/>
      <c r="Q103" s="11" t="n"/>
      <c r="R103" s="11" t="n"/>
    </row>
    <row r="104">
      <c r="A104" s="8" t="inlineStr">
        <is>
          <t>S309</t>
        </is>
      </c>
      <c r="B104" s="8" t="inlineStr">
        <is>
          <t>two emotions, two causes</t>
        </is>
      </c>
      <c r="C104" s="8" t="inlineStr">
        <is>
          <t>We went for our first trip together to Udaipur and i was so happy walking beside the lake with her. Midway i realised i had told my friends i was too busy to attend Sagar's engagement, and i felt bad for lying. The boat ride was short but the sky had turned pink and gold over the water. We walked past a small market selling mirror-work bags and she bought one as a gift. I took a photo of her laughing next to a lamp and set it as my wallpaper.</t>
        </is>
      </c>
      <c r="D104" s="8" t="inlineStr">
        <is>
          <t>i was so happy</t>
        </is>
      </c>
      <c r="E104" s="8" t="inlineStr">
        <is>
          <t>joy</t>
        </is>
      </c>
      <c r="F104" s="9" t="n">
        <v>0.5436</v>
      </c>
      <c r="G104" s="9" t="n">
        <v>0.3943</v>
      </c>
      <c r="H104" s="8" t="inlineStr">
        <is>
          <t>We went for our first trip together to Udaipur and</t>
        </is>
      </c>
      <c r="I104" s="8" t="inlineStr">
        <is>
          <t>i was so happy walking beside the lake with her [joy] | i felt bad for lying [guilt]</t>
        </is>
      </c>
      <c r="J104" s="8" t="inlineStr">
        <is>
          <t>partly overlaps a gold span</t>
        </is>
      </c>
      <c r="K104" s="10" t="inlineStr">
        <is>
          <t>boundary of a gold span</t>
        </is>
      </c>
      <c r="L104" s="10" t="n"/>
      <c r="M104" s="10" t="n"/>
      <c r="N104" s="10" t="inlineStr">
        <is>
          <t>Shorter version of the gold span</t>
        </is>
      </c>
      <c r="O104" s="11" t="n"/>
      <c r="P104" s="11" t="n"/>
      <c r="Q104" s="11" t="n"/>
      <c r="R104" s="11" t="n"/>
    </row>
    <row r="105">
      <c r="A105" s="8" t="inlineStr">
        <is>
          <t>S043</t>
        </is>
      </c>
      <c r="B105" s="8" t="inlineStr">
        <is>
          <t>different sentences</t>
        </is>
      </c>
      <c r="C105" s="8" t="inlineStr">
        <is>
          <t>Papa has been working night shifts since March and he looks so tired these days. He still calls me every morning and asks if I ate properly. Yesterday I heard him cough for a long time on the phone and he said it is nothing. I wish I could do something for him but I cannot even pay my own fees. I feel so helpless.</t>
        </is>
      </c>
      <c r="D105" s="8" t="inlineStr">
        <is>
          <t>days</t>
        </is>
      </c>
      <c r="E105" s="8" t="inlineStr">
        <is>
          <t>sadness</t>
        </is>
      </c>
      <c r="F105" s="9" t="n">
        <v>0.5415</v>
      </c>
      <c r="G105" s="9" t="n">
        <v>0.6215000000000001</v>
      </c>
      <c r="H105" s="8" t="inlineStr">
        <is>
          <t>(implicit)</t>
        </is>
      </c>
      <c r="I105" s="8" t="inlineStr">
        <is>
          <t>I feel so helpless [sadness]</t>
        </is>
      </c>
      <c r="J105" s="8" t="inlineStr">
        <is>
          <t>no overlap with gold</t>
        </is>
      </c>
      <c r="K105" s="10" t="inlineStr">
        <is>
          <t>not an emotion</t>
        </is>
      </c>
      <c r="L105" s="10" t="n"/>
      <c r="M105" s="10" t="n"/>
      <c r="N105" s="10" t="inlineStr">
        <is>
          <t>Fragment</t>
        </is>
      </c>
      <c r="O105" s="11" t="n"/>
      <c r="P105" s="11" t="n"/>
      <c r="Q105" s="11" t="n"/>
      <c r="R105" s="11" t="n"/>
    </row>
    <row r="106">
      <c r="A106" s="8" t="inlineStr">
        <is>
          <t>S236</t>
        </is>
      </c>
      <c r="B106" s="8" t="inlineStr">
        <is>
          <t>cause before emotion</t>
        </is>
      </c>
      <c r="C106" s="8" t="inlineStr">
        <is>
          <t>Sana said we need to talk about something important tonight. my mind is racing and i cannot focus on anything. scared it is bad news.</t>
        </is>
      </c>
      <c r="D106" s="8" t="inlineStr">
        <is>
          <t>cannot focus</t>
        </is>
      </c>
      <c r="E106" s="8" t="inlineStr">
        <is>
          <t>stress</t>
        </is>
      </c>
      <c r="F106" s="9" t="n">
        <v>0.5407</v>
      </c>
      <c r="G106" s="9" t="n">
        <v>0.9905</v>
      </c>
      <c r="H106" s="8" t="inlineStr">
        <is>
          <t>(implicit)</t>
        </is>
      </c>
      <c r="I106" s="8" t="inlineStr">
        <is>
          <t>scared it is bad news [fear]</t>
        </is>
      </c>
      <c r="J106" s="8" t="inlineStr">
        <is>
          <t>no overlap with gold</t>
        </is>
      </c>
      <c r="K106" s="10" t="inlineStr">
        <is>
          <t>restates a gold emotion</t>
        </is>
      </c>
      <c r="L106" s="10" t="n"/>
      <c r="M106" s="10" t="n"/>
      <c r="N106" s="10" t="inlineStr">
        <is>
          <t>Same fear as gold 'scared it is bad news'</t>
        </is>
      </c>
      <c r="O106" s="11" t="n"/>
      <c r="P106" s="11" t="n"/>
      <c r="Q106" s="11" t="n"/>
      <c r="R106" s="11" t="n"/>
    </row>
    <row r="107">
      <c r="A107" s="8" t="inlineStr">
        <is>
          <t>S077</t>
        </is>
      </c>
      <c r="B107" s="8" t="inlineStr">
        <is>
          <t>two emotions, two causes</t>
        </is>
      </c>
      <c r="C107" s="8" t="inlineStr">
        <is>
          <t>Mummy's surgery was today and the doctors said everything went well, I cried from relief. I had been sitting in the waiting area since 7 with Papa, and neither of us could eat anything. Every time the door opened my heart jumped. When the nurse finally came out and smiled, I just collapsed on the chair. Papa held my hand and did not say anything, he just kept nodding. I called my sister and she was screaming and crying at the same time on the phone. I am also so tired and stressed from running around the hospital since morning. There were forms to sign, medicines to buy from the other building and the billing counter was a mess. I have not eaten properly in two days and my feet are aching. But she is okay, that is what matters. I will sleep for a week after this. The hospital canteen ran out of tea by nine, so I had a packet of biscuits from the vending machine. Visiting hours ended at eight and we were allowed to stay only in the waiting area. A man at the next bench was reading a newspaper upside down and a child kept running up and down the corridor with a plastic bottle.</t>
        </is>
      </c>
      <c r="D107" s="8" t="inlineStr">
        <is>
          <t>since</t>
        </is>
      </c>
      <c r="E107" s="8" t="inlineStr">
        <is>
          <t>stress</t>
        </is>
      </c>
      <c r="F107" s="9" t="n">
        <v>0.5403</v>
      </c>
      <c r="G107" s="9" t="n">
        <v>0.9989</v>
      </c>
      <c r="H107" s="8" t="inlineStr">
        <is>
          <t>Mummy's surgery was today and the doctors said everything went well</t>
        </is>
      </c>
      <c r="I107" s="8" t="inlineStr">
        <is>
          <t>I cried from relief [joy] | so tired and stressed [stress]</t>
        </is>
      </c>
      <c r="J107" s="8" t="inlineStr">
        <is>
          <t>no overlap with gold</t>
        </is>
      </c>
      <c r="K107" s="10" t="inlineStr">
        <is>
          <t>not an emotion</t>
        </is>
      </c>
      <c r="L107" s="10" t="n"/>
      <c r="M107" s="10" t="n"/>
      <c r="N107" s="10" t="inlineStr">
        <is>
          <t>Fragment</t>
        </is>
      </c>
      <c r="O107" s="11" t="n"/>
      <c r="P107" s="11" t="n"/>
      <c r="Q107" s="11" t="n"/>
      <c r="R107" s="11" t="n"/>
    </row>
    <row r="108">
      <c r="A108" s="8" t="inlineStr">
        <is>
          <t>S108</t>
        </is>
      </c>
      <c r="B108" s="8" t="inlineStr">
        <is>
          <t>cause before emotion</t>
        </is>
      </c>
      <c r="C108" s="8" t="inlineStr">
        <is>
          <t>i skipped my sister's call again for the third time this week and she just left a voice note saying take care. i feel really bad about it. It has been a rough few days and the calls are the only time my sister talks to me about home. I will call her back after dinner, i promise myself that.</t>
        </is>
      </c>
      <c r="D108" s="8" t="inlineStr">
        <is>
          <t>a rough few days</t>
        </is>
      </c>
      <c r="E108" s="8" t="inlineStr">
        <is>
          <t>stress</t>
        </is>
      </c>
      <c r="F108" s="9" t="n">
        <v>0.5403</v>
      </c>
      <c r="G108" s="9" t="n">
        <v>0.9408</v>
      </c>
      <c r="H108" s="8" t="inlineStr">
        <is>
          <t>i skipped my sister's call again for the third time this week and she just left a voice note saying take care</t>
        </is>
      </c>
      <c r="I108" s="8" t="inlineStr">
        <is>
          <t>i feel really bad about it [guilt]</t>
        </is>
      </c>
      <c r="J108" s="8" t="inlineStr">
        <is>
          <t>no overlap with gold</t>
        </is>
      </c>
      <c r="K108" s="10" t="inlineStr">
        <is>
          <t>not an emotion</t>
        </is>
      </c>
      <c r="L108" s="10" t="n"/>
      <c r="M108" s="10" t="n"/>
      <c r="N108" s="10" t="inlineStr">
        <is>
          <t>Context for the guilt, not a feeling in itself</t>
        </is>
      </c>
      <c r="O108" s="11" t="n"/>
      <c r="P108" s="11" t="n"/>
      <c r="Q108" s="11" t="n"/>
      <c r="R108" s="11" t="n"/>
    </row>
    <row r="109">
      <c r="A109" s="8" t="inlineStr">
        <is>
          <t>S046</t>
        </is>
      </c>
      <c r="B109" s="8" t="inlineStr">
        <is>
          <t>different sentences</t>
        </is>
      </c>
      <c r="C109" s="8" t="inlineStr">
        <is>
          <t>Joined the new gym near my place today. The trainer was really kind and showed me the machines slowly, without making me feel dumb. I feel quite relaxed about going now, not scared like before.</t>
        </is>
      </c>
      <c r="D109" s="8" t="inlineStr">
        <is>
          <t>now, not scared</t>
        </is>
      </c>
      <c r="E109" s="8" t="inlineStr">
        <is>
          <t>guilt</t>
        </is>
      </c>
      <c r="F109" s="9" t="n">
        <v>0.5377</v>
      </c>
      <c r="G109" s="9" t="n">
        <v>0.1811</v>
      </c>
      <c r="H109" s="8" t="inlineStr">
        <is>
          <t>Joined the new gym near my place today</t>
        </is>
      </c>
      <c r="I109" s="8" t="inlineStr">
        <is>
          <t>I feel quite relaxed about going now [contentment]</t>
        </is>
      </c>
      <c r="J109" s="8" t="inlineStr">
        <is>
          <t>partly overlaps a gold span</t>
        </is>
      </c>
      <c r="K109" s="10" t="inlineStr">
        <is>
          <t>boundary of a gold span</t>
        </is>
      </c>
      <c r="L109" s="10" t="n"/>
      <c r="M109" s="10" t="n"/>
      <c r="N109" s="10" t="inlineStr">
        <is>
          <t>Part of the gold contentment span</t>
        </is>
      </c>
      <c r="O109" s="11" t="n"/>
      <c r="P109" s="11" t="n"/>
      <c r="Q109" s="11" t="n"/>
      <c r="R109" s="11" t="n"/>
    </row>
    <row r="110">
      <c r="A110" s="8" t="inlineStr">
        <is>
          <t>S155</t>
        </is>
      </c>
      <c r="B110" s="8" t="inlineStr">
        <is>
          <t>implicit cause</t>
        </is>
      </c>
      <c r="C110" s="8" t="inlineStr">
        <is>
          <t>got this wave of gratitude while brushing my teeth lol. for everything, no reason. I wrote it in my notes app and then deleted it. Brushed twice, just to be sure.</t>
        </is>
      </c>
      <c r="D110" s="8" t="inlineStr">
        <is>
          <t>my teeth</t>
        </is>
      </c>
      <c r="E110" s="8" t="inlineStr">
        <is>
          <t>joy</t>
        </is>
      </c>
      <c r="F110" s="9" t="n">
        <v>0.5331</v>
      </c>
      <c r="G110" s="9" t="n">
        <v>0.5247000000000001</v>
      </c>
      <c r="H110" s="8" t="inlineStr">
        <is>
          <t>(implicit)</t>
        </is>
      </c>
      <c r="I110" s="8" t="inlineStr">
        <is>
          <t>got this wave of gratitude while brushing my teeth lol [gratitude]</t>
        </is>
      </c>
      <c r="J110" s="8" t="inlineStr">
        <is>
          <t>partly overlaps a gold span</t>
        </is>
      </c>
      <c r="K110" s="10" t="inlineStr">
        <is>
          <t>not an emotion</t>
        </is>
      </c>
      <c r="L110" s="10" t="n"/>
      <c r="M110" s="10" t="n"/>
      <c r="N110" s="10" t="inlineStr">
        <is>
          <t>Fragment</t>
        </is>
      </c>
      <c r="O110" s="11" t="n"/>
      <c r="P110" s="11" t="n"/>
      <c r="Q110" s="11" t="n"/>
      <c r="R110" s="11" t="n"/>
    </row>
    <row r="111">
      <c r="A111" s="8" t="inlineStr">
        <is>
          <t>S328</t>
        </is>
      </c>
      <c r="B111" s="8" t="inlineStr">
        <is>
          <t>two emotions, two causes</t>
        </is>
      </c>
      <c r="C111" s="8" t="inlineStr">
        <is>
          <t>I booked a solo trip to Manali, my first ever, and i have been jumping around the room since. Reading the weather updates about landslides made my heart sink though and i keep refreshing them, really worried.</t>
        </is>
      </c>
      <c r="D111" s="8" t="inlineStr">
        <is>
          <t>jumping around the</t>
        </is>
      </c>
      <c r="E111" s="8" t="inlineStr">
        <is>
          <t>joy</t>
        </is>
      </c>
      <c r="F111" s="9" t="n">
        <v>0.5331</v>
      </c>
      <c r="G111" s="9" t="n">
        <v>0.9654</v>
      </c>
      <c r="H111" s="8" t="inlineStr">
        <is>
          <t>I booked a solo trip to Manali, my first ever</t>
        </is>
      </c>
      <c r="I111" s="8" t="inlineStr">
        <is>
          <t>i have been jumping around the room since [joy] | really worried [fear]</t>
        </is>
      </c>
      <c r="J111" s="8" t="inlineStr">
        <is>
          <t>partly overlaps a gold span</t>
        </is>
      </c>
      <c r="K111" s="10" t="inlineStr">
        <is>
          <t>boundary of a gold span</t>
        </is>
      </c>
      <c r="L111" s="10" t="n"/>
      <c r="M111" s="10" t="n"/>
      <c r="N111" s="10" t="inlineStr">
        <is>
          <t>Fragment of the gold span</t>
        </is>
      </c>
      <c r="O111" s="11" t="n"/>
      <c r="P111" s="11" t="n"/>
      <c r="Q111" s="11" t="n"/>
      <c r="R111" s="11" t="n"/>
    </row>
    <row r="112">
      <c r="A112" s="8" t="inlineStr">
        <is>
          <t>S280</t>
        </is>
      </c>
      <c r="B112" s="8" t="inlineStr">
        <is>
          <t>implicit cause</t>
        </is>
      </c>
      <c r="C112" s="8" t="inlineStr">
        <is>
          <t>something good is going to happen i can feel it. no logic, just a bright feeling since i woke up.</t>
        </is>
      </c>
      <c r="D112" s="8" t="inlineStr">
        <is>
          <t>it</t>
        </is>
      </c>
      <c r="E112" s="8" t="inlineStr">
        <is>
          <t>joy</t>
        </is>
      </c>
      <c r="F112" s="9" t="n">
        <v>0.5327</v>
      </c>
      <c r="G112" s="9" t="n">
        <v>0.8224</v>
      </c>
      <c r="H112" s="8" t="inlineStr">
        <is>
          <t>(implicit)</t>
        </is>
      </c>
      <c r="I112" s="8" t="inlineStr">
        <is>
          <t>a bright feeling since i woke up [joy]</t>
        </is>
      </c>
      <c r="J112" s="8" t="inlineStr">
        <is>
          <t>no overlap with gold</t>
        </is>
      </c>
      <c r="K112" s="10" t="inlineStr">
        <is>
          <t>not an emotion</t>
        </is>
      </c>
      <c r="L112" s="10" t="n"/>
      <c r="M112" s="10" t="n"/>
      <c r="N112" s="10" t="inlineStr">
        <is>
          <t>Fragment</t>
        </is>
      </c>
      <c r="O112" s="11" t="n"/>
      <c r="P112" s="11" t="n"/>
      <c r="Q112" s="11" t="n"/>
      <c r="R112" s="11" t="n"/>
    </row>
    <row r="113">
      <c r="A113" s="8" t="inlineStr">
        <is>
          <t>S313</t>
        </is>
      </c>
      <c r="B113" s="8" t="inlineStr">
        <is>
          <t>two emotions, two causes</t>
        </is>
      </c>
      <c r="C113" s="8" t="inlineStr">
        <is>
          <t>Mira wrote me a three page letter on my last day at the PG saying how my random cooking nights made her stay sane. I read it on the train and was so touched i could not stop smiling. Then the train crossed the city limits and i realised how far i had come from all of them, the sadness hit slowly. The letter was written in blue ink on ruled pages, with a small drawing of a pressure cooker at the end. The train was full and i held it in both hands so it would not crease.</t>
        </is>
      </c>
      <c r="D113" s="8" t="inlineStr">
        <is>
          <t>sadness</t>
        </is>
      </c>
      <c r="E113" s="8" t="inlineStr">
        <is>
          <t>sadness</t>
        </is>
      </c>
      <c r="F113" s="9" t="n">
        <v>0.5303</v>
      </c>
      <c r="G113" s="9" t="n">
        <v>0.9986</v>
      </c>
      <c r="H113" s="8" t="inlineStr">
        <is>
          <t>how far i had come from all of them</t>
        </is>
      </c>
      <c r="I113" s="8" t="inlineStr">
        <is>
          <t>so touched i could not stop smiling [gratitude] | the sadness hit slowly [sadness]</t>
        </is>
      </c>
      <c r="J113" s="8" t="inlineStr">
        <is>
          <t>partly overlaps a gold span</t>
        </is>
      </c>
      <c r="K113" s="10" t="inlineStr">
        <is>
          <t>boundary of a gold span</t>
        </is>
      </c>
      <c r="L113" s="10" t="n"/>
      <c r="M113" s="10" t="n"/>
      <c r="N113" s="10" t="inlineStr">
        <is>
          <t>Fragment of the gold span</t>
        </is>
      </c>
      <c r="O113" s="11" t="n"/>
      <c r="P113" s="11" t="n"/>
      <c r="Q113" s="11" t="n"/>
      <c r="R113" s="11" t="n"/>
    </row>
    <row r="114">
      <c r="A114" s="8" t="inlineStr">
        <is>
          <t>S330</t>
        </is>
      </c>
      <c r="B114" s="8" t="inlineStr">
        <is>
          <t>one cause, two emotions</t>
        </is>
      </c>
      <c r="C114" s="8" t="inlineStr">
        <is>
          <t>i got the offer from Amazon but the joining is in Hyderabad. excited about the money and sad about leaving everyone. The mail has a pdf with all the details and a long list of documents to carry.</t>
        </is>
      </c>
      <c r="D114" s="8" t="inlineStr">
        <is>
          <t>sad</t>
        </is>
      </c>
      <c r="E114" s="8" t="inlineStr">
        <is>
          <t>sadness</t>
        </is>
      </c>
      <c r="F114" s="9" t="n">
        <v>0.5286999999999999</v>
      </c>
      <c r="G114" s="9" t="n">
        <v>0.1677</v>
      </c>
      <c r="H114" s="8" t="inlineStr">
        <is>
          <t>i got the offer from Amazon but the joining is in Hyderabad</t>
        </is>
      </c>
      <c r="I114" s="8" t="inlineStr">
        <is>
          <t>excited about the money [joy] | sad about leaving everyone [sadness]</t>
        </is>
      </c>
      <c r="J114" s="8" t="inlineStr">
        <is>
          <t>partly overlaps a gold span</t>
        </is>
      </c>
      <c r="K114" s="10" t="inlineStr">
        <is>
          <t>boundary of a gold span</t>
        </is>
      </c>
      <c r="L114" s="10" t="n"/>
      <c r="M114" s="10" t="n"/>
      <c r="N114" s="10" t="inlineStr">
        <is>
          <t>Fragment of the gold span</t>
        </is>
      </c>
      <c r="O114" s="11" t="n"/>
      <c r="P114" s="11" t="n"/>
      <c r="Q114" s="11" t="n"/>
      <c r="R114" s="11" t="n"/>
    </row>
    <row r="115">
      <c r="A115" s="8" t="inlineStr">
        <is>
          <t>S285</t>
        </is>
      </c>
      <c r="B115" s="8" t="inlineStr">
        <is>
          <t>implicit cause</t>
        </is>
      </c>
      <c r="C115" s="8" t="inlineStr">
        <is>
          <t>my hands are cold and my heart is thudding for no reason. sitting in the corridor trying to breathe slow. anxious about nothing.</t>
        </is>
      </c>
      <c r="D115" s="8" t="inlineStr">
        <is>
          <t>hands are cold</t>
        </is>
      </c>
      <c r="E115" s="8" t="inlineStr">
        <is>
          <t>fear</t>
        </is>
      </c>
      <c r="F115" s="9" t="n">
        <v>0.5285</v>
      </c>
      <c r="G115" s="9" t="n">
        <v>0.4943</v>
      </c>
      <c r="H115" s="8" t="inlineStr">
        <is>
          <t>(implicit)</t>
        </is>
      </c>
      <c r="I115" s="8" t="inlineStr">
        <is>
          <t>anxious about nothing [fear]</t>
        </is>
      </c>
      <c r="J115" s="8" t="inlineStr">
        <is>
          <t>no overlap with gold</t>
        </is>
      </c>
      <c r="K115" s="10" t="inlineStr">
        <is>
          <t>restates a gold emotion</t>
        </is>
      </c>
      <c r="L115" s="10" t="n"/>
      <c r="M115" s="10" t="n"/>
      <c r="N115" s="10" t="inlineStr">
        <is>
          <t>Physical sign of the gold anxiety</t>
        </is>
      </c>
      <c r="O115" s="11" t="n"/>
      <c r="P115" s="11" t="n"/>
      <c r="Q115" s="11" t="n"/>
      <c r="R115" s="11" t="n"/>
    </row>
    <row r="116">
      <c r="A116" s="8" t="inlineStr">
        <is>
          <t>S254</t>
        </is>
      </c>
      <c r="B116" s="8" t="inlineStr">
        <is>
          <t>cause after emotion</t>
        </is>
      </c>
      <c r="C116" s="8" t="inlineStr">
        <is>
          <t>pretty anxious about the audit tomorrow since half the files are still not uploaded. The cleaning took four hours and we divided the floors between us. Every room smelled of phenyl in the end.</t>
        </is>
      </c>
      <c r="D116" s="8" t="inlineStr">
        <is>
          <t>pretty anxious</t>
        </is>
      </c>
      <c r="E116" s="8" t="inlineStr">
        <is>
          <t>stress</t>
        </is>
      </c>
      <c r="F116" s="9" t="n">
        <v>0.5276999999999999</v>
      </c>
      <c r="G116" s="9" t="n">
        <v>0.1417</v>
      </c>
      <c r="H116" s="8" t="inlineStr">
        <is>
          <t>half the files are still not uploaded</t>
        </is>
      </c>
      <c r="I116" s="8" t="inlineStr">
        <is>
          <t>pretty anxious about the audit tomorrow [fear]</t>
        </is>
      </c>
      <c r="J116" s="8" t="inlineStr">
        <is>
          <t>partly overlaps a gold span</t>
        </is>
      </c>
      <c r="K116" s="10" t="inlineStr">
        <is>
          <t>boundary of a gold span</t>
        </is>
      </c>
      <c r="L116" s="10" t="n"/>
      <c r="M116" s="10" t="n"/>
      <c r="N116" s="10" t="inlineStr">
        <is>
          <t>Shorter version of the gold span</t>
        </is>
      </c>
      <c r="O116" s="11" t="n"/>
      <c r="P116" s="11" t="n"/>
      <c r="Q116" s="11" t="n"/>
      <c r="R116" s="11" t="n"/>
    </row>
    <row r="117">
      <c r="A117" s="8" t="inlineStr">
        <is>
          <t>S073</t>
        </is>
      </c>
      <c r="B117" s="8" t="inlineStr">
        <is>
          <t>two emotions, two causes</t>
        </is>
      </c>
      <c r="C117" s="8" t="inlineStr">
        <is>
          <t>Finally cleared the backlog paper and I felt such a relief, I almost danced in the corridor. It was hanging over me for a full year, I could not even look at that subject without feeling sick. Dad called after that and asked why it took me so long, and I was annoyed that he could not just be happy for me. I know he means well but it would have been nice to hear well done even once. I did not say any of this, just said okay and hung up.</t>
        </is>
      </c>
      <c r="D117" s="8" t="inlineStr">
        <is>
          <t>feeling sick</t>
        </is>
      </c>
      <c r="E117" s="8" t="inlineStr">
        <is>
          <t>sadness</t>
        </is>
      </c>
      <c r="F117" s="9" t="n">
        <v>0.5275</v>
      </c>
      <c r="G117" s="9" t="n">
        <v>0.304</v>
      </c>
      <c r="H117" s="8" t="inlineStr">
        <is>
          <t>Finally cleared the backlog paper</t>
        </is>
      </c>
      <c r="I117" s="8" t="inlineStr">
        <is>
          <t>I felt such a relief, I almost danced in the corridor [joy] | I was annoyed that he could not just be happy for me [anger]</t>
        </is>
      </c>
      <c r="J117" s="8" t="inlineStr">
        <is>
          <t>no overlap with gold</t>
        </is>
      </c>
      <c r="K117" s="10" t="inlineStr">
        <is>
          <t>real emotion missed by labels</t>
        </is>
      </c>
      <c r="L117" s="10" t="inlineStr">
        <is>
          <t>stress</t>
        </is>
      </c>
      <c r="M117" s="10" t="inlineStr">
        <is>
          <t>It was hanging over me for a full year</t>
        </is>
      </c>
      <c r="N117" s="10" t="inlineStr">
        <is>
          <t>Past dread about the backlog subject. Decide whether past feelings are labelled</t>
        </is>
      </c>
      <c r="O117" s="11" t="n"/>
      <c r="P117" s="11" t="n"/>
      <c r="Q117" s="11" t="n"/>
      <c r="R117" s="11" t="n"/>
    </row>
    <row r="118">
      <c r="A118" s="8" t="inlineStr">
        <is>
          <t>S133</t>
        </is>
      </c>
      <c r="B118" s="8" t="inlineStr">
        <is>
          <t>different sentences</t>
        </is>
      </c>
      <c r="C118" s="8" t="inlineStr">
        <is>
          <t>my boyfriend did not reply to my text for the whole day and then sent a thumbs up in the night. i know he has exams. still it hurt, i just wanted two proper lines from him. I put the phone away and cleaned my desk for an hour. Then I made noodles and watched a documentary about birds.</t>
        </is>
      </c>
      <c r="D118" s="8" t="inlineStr">
        <is>
          <t>hurt</t>
        </is>
      </c>
      <c r="E118" s="8" t="inlineStr">
        <is>
          <t>sadness</t>
        </is>
      </c>
      <c r="F118" s="9" t="n">
        <v>0.5233</v>
      </c>
      <c r="G118" s="9" t="n">
        <v>0.9645</v>
      </c>
      <c r="H118" s="8" t="inlineStr">
        <is>
          <t>my boyfriend did not reply to my text for the whole day and then sent a thumbs up in the night</t>
        </is>
      </c>
      <c r="I118" s="8" t="inlineStr">
        <is>
          <t>still it hurt [sadness]</t>
        </is>
      </c>
      <c r="J118" s="8" t="inlineStr">
        <is>
          <t>partly overlaps a gold span</t>
        </is>
      </c>
      <c r="K118" s="10" t="inlineStr">
        <is>
          <t>boundary of a gold span</t>
        </is>
      </c>
      <c r="L118" s="10" t="n"/>
      <c r="M118" s="10" t="n"/>
      <c r="N118" s="10" t="inlineStr">
        <is>
          <t>Fragment of the gold span</t>
        </is>
      </c>
      <c r="O118" s="11" t="n"/>
      <c r="P118" s="11" t="n"/>
      <c r="Q118" s="11" t="n"/>
      <c r="R118" s="11" t="n"/>
    </row>
    <row r="119">
      <c r="A119" s="8" t="inlineStr">
        <is>
          <t>S053</t>
        </is>
      </c>
      <c r="B119" s="8" t="inlineStr">
        <is>
          <t>implicit cause</t>
        </is>
      </c>
      <c r="C119" s="8" t="inlineStr">
        <is>
          <t>Something about this morning bugged me and I cannot even explain what. Been irritated at everyone since I woke up. Even the chai tasted wrong.</t>
        </is>
      </c>
      <c r="D119" s="8" t="inlineStr">
        <is>
          <t>I</t>
        </is>
      </c>
      <c r="E119" s="8" t="inlineStr">
        <is>
          <t>fear</t>
        </is>
      </c>
      <c r="F119" s="9" t="n">
        <v>0.5217000000000001</v>
      </c>
      <c r="G119" s="9" t="n">
        <v>0.4179</v>
      </c>
      <c r="H119" s="8" t="inlineStr">
        <is>
          <t>(implicit)</t>
        </is>
      </c>
      <c r="I119" s="8" t="inlineStr">
        <is>
          <t>Been irritated at everyone since I woke up [anger]</t>
        </is>
      </c>
      <c r="J119" s="8" t="inlineStr">
        <is>
          <t>no overlap with gold</t>
        </is>
      </c>
      <c r="K119" s="10" t="inlineStr">
        <is>
          <t>not an emotion</t>
        </is>
      </c>
      <c r="L119" s="10" t="n"/>
      <c r="M119" s="10" t="n"/>
      <c r="N119" s="10" t="inlineStr">
        <is>
          <t>Fragment</t>
        </is>
      </c>
      <c r="O119" s="11" t="n"/>
      <c r="P119" s="11" t="n"/>
      <c r="Q119" s="11" t="n"/>
      <c r="R119" s="11" t="n"/>
    </row>
    <row r="120">
      <c r="A120" s="8" t="inlineStr">
        <is>
          <t>S237</t>
        </is>
      </c>
      <c r="B120" s="8" t="inlineStr">
        <is>
          <t>cause before emotion</t>
        </is>
      </c>
      <c r="C120" s="8" t="inlineStr">
        <is>
          <t>I opened the planner and saw the list of things i had not done for the whole week. Three assignments, the gym, the call i keep postponing. I felt the usual knot in my chest and closed the planner again. so stressed and not even doing anything about it. The assignments were due on three different subjects and the gym slot was still empty from the week before. I stared at the page for a minute and then looked at the ceiling. After that i moved the sticky notes from the left side of the page to the right and left the rest as it was.</t>
        </is>
      </c>
      <c r="D120" s="8" t="inlineStr">
        <is>
          <t>my chest</t>
        </is>
      </c>
      <c r="E120" s="8" t="inlineStr">
        <is>
          <t>sadness</t>
        </is>
      </c>
      <c r="F120" s="9" t="n">
        <v>0.5191</v>
      </c>
      <c r="G120" s="9" t="n">
        <v>0.2688</v>
      </c>
      <c r="H120" s="8" t="inlineStr">
        <is>
          <t>had not done for the whole week</t>
        </is>
      </c>
      <c r="I120" s="8" t="inlineStr">
        <is>
          <t>so stressed and not even doing anything about it [stress]</t>
        </is>
      </c>
      <c r="J120" s="8" t="inlineStr">
        <is>
          <t>no overlap with gold</t>
        </is>
      </c>
      <c r="K120" s="10" t="inlineStr">
        <is>
          <t>restates a gold emotion</t>
        </is>
      </c>
      <c r="L120" s="10" t="n"/>
      <c r="M120" s="10" t="n"/>
      <c r="N120" s="10" t="inlineStr">
        <is>
          <t>Physical sign of the gold stress</t>
        </is>
      </c>
      <c r="O120" s="11" t="n"/>
      <c r="P120" s="11" t="n"/>
      <c r="Q120" s="11" t="n"/>
      <c r="R120" s="11" t="n"/>
    </row>
    <row r="121">
      <c r="A121" s="8" t="inlineStr">
        <is>
          <t>S237</t>
        </is>
      </c>
      <c r="B121" s="8" t="inlineStr">
        <is>
          <t>cause before emotion</t>
        </is>
      </c>
      <c r="C121" s="8" t="inlineStr">
        <is>
          <t>I opened the planner and saw the list of things i had not done for the whole week. Three assignments, the gym, the call i keep postponing. I felt the usual knot in my chest and closed the planner again. so stressed and not even doing anything about it. The assignments were due on three different subjects and the gym slot was still empty from the week before. I stared at the page for a minute and then looked at the ceiling. After that i moved the sticky notes from the left side of the page to the right and left the rest as it was.</t>
        </is>
      </c>
      <c r="D121" s="8" t="inlineStr">
        <is>
          <t>so stressed</t>
        </is>
      </c>
      <c r="E121" s="8" t="inlineStr">
        <is>
          <t>stress</t>
        </is>
      </c>
      <c r="F121" s="9" t="n">
        <v>0.5154</v>
      </c>
      <c r="G121" s="9" t="n">
        <v>0.2279</v>
      </c>
      <c r="H121" s="8" t="inlineStr">
        <is>
          <t>had not done for the whole week</t>
        </is>
      </c>
      <c r="I121" s="8" t="inlineStr">
        <is>
          <t>so stressed and not even doing anything about it [stress]</t>
        </is>
      </c>
      <c r="J121" s="8" t="inlineStr">
        <is>
          <t>partly overlaps a gold span</t>
        </is>
      </c>
      <c r="K121" s="10" t="inlineStr">
        <is>
          <t>boundary of a gold span</t>
        </is>
      </c>
      <c r="L121" s="10" t="n"/>
      <c r="M121" s="10" t="n"/>
      <c r="N121" s="10" t="inlineStr">
        <is>
          <t>Shorter version of the gold span</t>
        </is>
      </c>
      <c r="O121" s="11" t="n"/>
      <c r="P121" s="11" t="n"/>
      <c r="Q121" s="11" t="n"/>
      <c r="R121" s="11" t="n"/>
    </row>
    <row r="122">
      <c r="A122" s="8" t="inlineStr">
        <is>
          <t>S086</t>
        </is>
      </c>
      <c r="B122" s="8" t="inlineStr">
        <is>
          <t>one cause, two emotions</t>
        </is>
      </c>
      <c r="C122" s="8" t="inlineStr">
        <is>
          <t>Saw my name on the interview shortlist for Infosys. So excited and nervous at the same time. The list is on the department board and I took a photo of it in case it gets removed. The interviews will be held in the seminar hall.</t>
        </is>
      </c>
      <c r="D122" s="8" t="inlineStr">
        <is>
          <t>time</t>
        </is>
      </c>
      <c r="E122" s="8" t="inlineStr">
        <is>
          <t>joy</t>
        </is>
      </c>
      <c r="F122" s="9" t="n">
        <v>0.5086000000000001</v>
      </c>
      <c r="G122" s="9" t="n">
        <v>0.2486</v>
      </c>
      <c r="H122" s="8" t="inlineStr">
        <is>
          <t>Saw my name on the interview shortlist for Infosys</t>
        </is>
      </c>
      <c r="I122" s="8" t="inlineStr">
        <is>
          <t>So excited [joy] | nervous at the same time [fear]</t>
        </is>
      </c>
      <c r="J122" s="8" t="inlineStr">
        <is>
          <t>partly overlaps a gold span</t>
        </is>
      </c>
      <c r="K122" s="10" t="inlineStr">
        <is>
          <t>not an emotion</t>
        </is>
      </c>
      <c r="L122" s="10" t="n"/>
      <c r="M122" s="10" t="n"/>
      <c r="N122" s="10" t="inlineStr">
        <is>
          <t>Fragment</t>
        </is>
      </c>
      <c r="O122" s="11" t="n"/>
      <c r="P122" s="11" t="n"/>
      <c r="Q122" s="11" t="n"/>
      <c r="R122" s="11" t="n"/>
    </row>
    <row r="123">
      <c r="A123" s="8" t="inlineStr">
        <is>
          <t>S272</t>
        </is>
      </c>
      <c r="B123" s="8" t="inlineStr">
        <is>
          <t>different sentences</t>
        </is>
      </c>
      <c r="C123" s="8" t="inlineStr">
        <is>
          <t>Slept at 10 and woke up at 6 and went for a slow walk in the park with a flask of tea. The grass was wet and a couple of old men were doing laughing yoga. nothing felt rushed. i feel like my head has finally settled. I took a flask of tea, a book and an old shawl. I met a group of kids playing cricket near the gate and stopped to watch for a few minutes. When i reached home the kettle was still warm in my bag.</t>
        </is>
      </c>
      <c r="D123" s="8" t="inlineStr">
        <is>
          <t>finally settled</t>
        </is>
      </c>
      <c r="E123" s="8" t="inlineStr">
        <is>
          <t>contentment</t>
        </is>
      </c>
      <c r="F123" s="9" t="n">
        <v>0.5044</v>
      </c>
      <c r="G123" s="9" t="n">
        <v>0.9981</v>
      </c>
      <c r="H123" s="8" t="inlineStr">
        <is>
          <t>up at 6 and went for a slow walk in the park with a flask of tea</t>
        </is>
      </c>
      <c r="I123" s="8" t="inlineStr">
        <is>
          <t>i feel like my head has finally settled [contentment]</t>
        </is>
      </c>
      <c r="J123" s="8" t="inlineStr">
        <is>
          <t>partly overlaps a gold span</t>
        </is>
      </c>
      <c r="K123" s="10" t="inlineStr">
        <is>
          <t>boundary of a gold span</t>
        </is>
      </c>
      <c r="L123" s="10" t="n"/>
      <c r="M123" s="10" t="n"/>
      <c r="N123" s="10" t="inlineStr">
        <is>
          <t>Fragment of the gold span</t>
        </is>
      </c>
      <c r="O123" s="11" t="n"/>
      <c r="P123" s="11" t="n"/>
      <c r="Q123" s="11" t="n"/>
      <c r="R123" s="11" t="n"/>
    </row>
    <row r="124">
      <c r="A124" s="8" t="inlineStr">
        <is>
          <t>S082</t>
        </is>
      </c>
      <c r="B124" s="8" t="inlineStr">
        <is>
          <t>two emotions, two causes</t>
        </is>
      </c>
      <c r="C124" s="8" t="inlineStr">
        <is>
          <t>My girlfriend and I finally cleared the air after two weeks of not talking, I feel so relieved and happy. We sat on the terrace till late and talked more than we have in months. But I am worried it will happen again because we did not really talk about the root problem. I keep telling myself to not overthink.</t>
        </is>
      </c>
      <c r="D124" s="8" t="inlineStr">
        <is>
          <t>will</t>
        </is>
      </c>
      <c r="E124" s="8" t="inlineStr">
        <is>
          <t>fear</t>
        </is>
      </c>
      <c r="F124" s="9" t="n">
        <v>0.5039</v>
      </c>
      <c r="G124" s="9" t="n">
        <v>0.9975000000000001</v>
      </c>
      <c r="H124" s="8" t="inlineStr">
        <is>
          <t>My girlfriend and I finally cleared the air after two weeks of not talking</t>
        </is>
      </c>
      <c r="I124" s="8" t="inlineStr">
        <is>
          <t>I feel so relieved and happy [joy] | I am worried it will happen again [fear]</t>
        </is>
      </c>
      <c r="J124" s="8" t="inlineStr">
        <is>
          <t>partly overlaps a gold span</t>
        </is>
      </c>
      <c r="K124" s="10" t="inlineStr">
        <is>
          <t>not an emotion</t>
        </is>
      </c>
      <c r="L124" s="10" t="n"/>
      <c r="M124" s="10" t="n"/>
      <c r="N124" s="10" t="inlineStr">
        <is>
          <t>Fragment</t>
        </is>
      </c>
      <c r="O124" s="11" t="n"/>
      <c r="P124" s="11" t="n"/>
      <c r="Q124" s="11" t="n"/>
      <c r="R124" s="11" t="n"/>
    </row>
    <row r="125">
      <c r="A125" s="8" t="inlineStr">
        <is>
          <t>S237</t>
        </is>
      </c>
      <c r="B125" s="8" t="inlineStr">
        <is>
          <t>cause before emotion</t>
        </is>
      </c>
      <c r="C125" s="8" t="inlineStr">
        <is>
          <t>I opened the planner and saw the list of things i had not done for the whole week. Three assignments, the gym, the call i keep postponing. I felt the usual knot in my chest and closed the planner again. so stressed and not even doing anything about it. The assignments were due on three different subjects and the gym slot was still empty from the week before. I stared at the page for a minute and then looked at the ceiling. After that i moved the sticky notes from the left side of the page to the right and left the rest as it was.</t>
        </is>
      </c>
      <c r="D125" s="8" t="inlineStr">
        <is>
          <t>felt the usual knot</t>
        </is>
      </c>
      <c r="E125" s="8" t="inlineStr">
        <is>
          <t>sadness</t>
        </is>
      </c>
      <c r="F125" s="9" t="n">
        <v>0.4931</v>
      </c>
      <c r="G125" s="9" t="n">
        <v>0.3169</v>
      </c>
      <c r="H125" s="8" t="inlineStr">
        <is>
          <t>had not done for the whole week</t>
        </is>
      </c>
      <c r="I125" s="8" t="inlineStr">
        <is>
          <t>so stressed and not even doing anything about it [stress]</t>
        </is>
      </c>
      <c r="J125" s="8" t="inlineStr">
        <is>
          <t>no overlap with gold</t>
        </is>
      </c>
      <c r="K125" s="10" t="inlineStr">
        <is>
          <t>restates a gold emotion</t>
        </is>
      </c>
      <c r="L125" s="10" t="n"/>
      <c r="M125" s="10" t="n"/>
      <c r="N125" s="10" t="inlineStr">
        <is>
          <t>Physical sign of the gold stress</t>
        </is>
      </c>
      <c r="O125" s="11" t="n"/>
      <c r="P125" s="11" t="n"/>
      <c r="Q125" s="11" t="n"/>
      <c r="R125" s="11" t="n"/>
    </row>
    <row r="126">
      <c r="A126" s="8" t="inlineStr">
        <is>
          <t>S273</t>
        </is>
      </c>
      <c r="B126" s="8" t="inlineStr">
        <is>
          <t>different sentences</t>
        </is>
      </c>
      <c r="C126" s="8" t="inlineStr">
        <is>
          <t>the group trip planning has turned into a mess. Five people want five different dates and nobody is paying the advance. I am the one chasing everyone on the chat and keeping the spreadsheet. I did not sign up to be the manager of this. so stressed, i feel like cancelling the whole thing.</t>
        </is>
      </c>
      <c r="D126" s="8" t="inlineStr">
        <is>
          <t>mess</t>
        </is>
      </c>
      <c r="E126" s="8" t="inlineStr">
        <is>
          <t>stress</t>
        </is>
      </c>
      <c r="F126" s="9" t="n">
        <v>0.4923</v>
      </c>
      <c r="G126" s="9" t="n">
        <v>0.974</v>
      </c>
      <c r="H126" s="8" t="inlineStr">
        <is>
          <t>(implicit)</t>
        </is>
      </c>
      <c r="I126" s="8" t="inlineStr">
        <is>
          <t>so stressed, i feel like cancelling the whole thing [stress]</t>
        </is>
      </c>
      <c r="J126" s="8" t="inlineStr">
        <is>
          <t>no overlap with gold</t>
        </is>
      </c>
      <c r="K126" s="10" t="inlineStr">
        <is>
          <t>not an emotion</t>
        </is>
      </c>
      <c r="L126" s="10" t="n"/>
      <c r="M126" s="10" t="n"/>
      <c r="N126" s="10" t="inlineStr">
        <is>
          <t>Describes the situation, not a feeling</t>
        </is>
      </c>
      <c r="O126" s="11" t="n"/>
      <c r="P126" s="11" t="n"/>
      <c r="Q126" s="11" t="n"/>
      <c r="R126" s="11" t="n"/>
    </row>
    <row r="127">
      <c r="A127" s="8" t="inlineStr">
        <is>
          <t>S269</t>
        </is>
      </c>
      <c r="B127" s="8" t="inlineStr">
        <is>
          <t>different sentences</t>
        </is>
      </c>
      <c r="C127" s="8" t="inlineStr">
        <is>
          <t>we won the tambola at the society event and the prize was a pressure cooker. Everyone laughed because i had said i would never win anything. I carried it home like a trophy. i am unreasonably happy about a pressure cooker. The numbers were called out slowly and half the hall was shouting. I had three tickets and kept losing track of the lines. When the last number came, someone near me nudged me and pointed at my ticket.</t>
        </is>
      </c>
      <c r="D127" s="8" t="inlineStr">
        <is>
          <t>laughed</t>
        </is>
      </c>
      <c r="E127" s="8" t="inlineStr">
        <is>
          <t>joy</t>
        </is>
      </c>
      <c r="F127" s="9" t="n">
        <v>0.4922</v>
      </c>
      <c r="G127" s="9" t="n">
        <v>0.573</v>
      </c>
      <c r="H127" s="8" t="inlineStr">
        <is>
          <t>we won the tambola at the society event and the prize was a pressure cooker</t>
        </is>
      </c>
      <c r="I127" s="8" t="inlineStr">
        <is>
          <t>i am unreasonably happy about a pressure cooker [joy]</t>
        </is>
      </c>
      <c r="J127" s="8" t="inlineStr">
        <is>
          <t>no overlap with gold</t>
        </is>
      </c>
      <c r="K127" s="10" t="inlineStr">
        <is>
          <t>not an emotion</t>
        </is>
      </c>
      <c r="L127" s="10" t="n"/>
      <c r="M127" s="10" t="n"/>
      <c r="N127" s="10" t="inlineStr">
        <is>
          <t>Other people laughing, not the writer's feeling</t>
        </is>
      </c>
      <c r="O127" s="11" t="n"/>
      <c r="P127" s="11" t="n"/>
      <c r="Q127" s="11" t="n"/>
      <c r="R127" s="11" t="n"/>
    </row>
    <row r="128">
      <c r="A128" s="8" t="inlineStr">
        <is>
          <t>S280</t>
        </is>
      </c>
      <c r="B128" s="8" t="inlineStr">
        <is>
          <t>implicit cause</t>
        </is>
      </c>
      <c r="C128" s="8" t="inlineStr">
        <is>
          <t>something good is going to happen i can feel it. no logic, just a bright feeling since i woke up.</t>
        </is>
      </c>
      <c r="D128" s="8" t="inlineStr">
        <is>
          <t>something good is going</t>
        </is>
      </c>
      <c r="E128" s="8" t="inlineStr">
        <is>
          <t>joy</t>
        </is>
      </c>
      <c r="F128" s="9" t="n">
        <v>0.4915</v>
      </c>
      <c r="G128" s="9" t="n">
        <v>0.9294</v>
      </c>
      <c r="H128" s="8" t="inlineStr">
        <is>
          <t>(implicit)</t>
        </is>
      </c>
      <c r="I128" s="8" t="inlineStr">
        <is>
          <t>a bright feeling since i woke up [joy]</t>
        </is>
      </c>
      <c r="J128" s="8" t="inlineStr">
        <is>
          <t>no overlap with gold</t>
        </is>
      </c>
      <c r="K128" s="10" t="inlineStr">
        <is>
          <t>restates a gold emotion</t>
        </is>
      </c>
      <c r="L128" s="10" t="n"/>
      <c r="M128" s="10" t="n"/>
      <c r="N128" s="10" t="inlineStr">
        <is>
          <t>Same hopeful joy as the gold clause</t>
        </is>
      </c>
      <c r="O128" s="11" t="n"/>
      <c r="P128" s="11" t="n"/>
      <c r="Q128" s="11" t="n"/>
      <c r="R128" s="11" t="n"/>
    </row>
    <row r="129">
      <c r="A129" s="8" t="inlineStr">
        <is>
          <t>S171</t>
        </is>
      </c>
      <c r="B129" s="8" t="inlineStr">
        <is>
          <t>two emotions, two causes</t>
        </is>
      </c>
      <c r="C129" s="8" t="inlineStr">
        <is>
          <t>found out that my ex is getting engaged from an instagram story. i felt a lump in my throat for like ten minutes. then i went for the gym session and the trainer said my form has improved a lot, i felt proud of myself.</t>
        </is>
      </c>
      <c r="D129" s="8" t="inlineStr">
        <is>
          <t>my throat</t>
        </is>
      </c>
      <c r="E129" s="8" t="inlineStr">
        <is>
          <t>sadness</t>
        </is>
      </c>
      <c r="F129" s="9" t="n">
        <v>0.4902</v>
      </c>
      <c r="G129" s="9" t="n">
        <v>0.2786</v>
      </c>
      <c r="H129" s="8" t="inlineStr">
        <is>
          <t>found out that my ex is getting engaged from an instagram story</t>
        </is>
      </c>
      <c r="I129" s="8" t="inlineStr">
        <is>
          <t>i felt a lump in my throat for like ten minutes [sadness] | i felt proud of myself [pride]</t>
        </is>
      </c>
      <c r="J129" s="8" t="inlineStr">
        <is>
          <t>partly overlaps a gold span</t>
        </is>
      </c>
      <c r="K129" s="10" t="inlineStr">
        <is>
          <t>boundary of a gold span</t>
        </is>
      </c>
      <c r="L129" s="10" t="n"/>
      <c r="M129" s="10" t="n"/>
      <c r="N129" s="10" t="inlineStr">
        <is>
          <t>Fragment of the gold span</t>
        </is>
      </c>
      <c r="O129" s="11" t="n"/>
      <c r="P129" s="11" t="n"/>
      <c r="Q129" s="11" t="n"/>
      <c r="R129" s="11" t="n"/>
    </row>
    <row r="130">
      <c r="A130" s="8" t="inlineStr">
        <is>
          <t>S221</t>
        </is>
      </c>
      <c r="B130" s="8" t="inlineStr">
        <is>
          <t>cause before emotion</t>
        </is>
      </c>
      <c r="C130" s="8" t="inlineStr">
        <is>
          <t>Neha stayed on call with me till 2 am while i fixed my resume. grateful for people like her, honestly.</t>
        </is>
      </c>
      <c r="D130" s="8" t="inlineStr">
        <is>
          <t>grateful for</t>
        </is>
      </c>
      <c r="E130" s="8" t="inlineStr">
        <is>
          <t>joy</t>
        </is>
      </c>
      <c r="F130" s="9" t="n">
        <v>0.4896</v>
      </c>
      <c r="G130" s="9" t="n">
        <v>0.2192</v>
      </c>
      <c r="H130" s="8" t="inlineStr">
        <is>
          <t>Neha stayed on call with me till 2 am while i fixed my resume</t>
        </is>
      </c>
      <c r="I130" s="8" t="inlineStr">
        <is>
          <t>grateful for people like her [gratitude]</t>
        </is>
      </c>
      <c r="J130" s="8" t="inlineStr">
        <is>
          <t>partly overlaps a gold span</t>
        </is>
      </c>
      <c r="K130" s="10" t="inlineStr">
        <is>
          <t>boundary of a gold span</t>
        </is>
      </c>
      <c r="L130" s="10" t="n"/>
      <c r="M130" s="10" t="n"/>
      <c r="N130" s="10" t="inlineStr">
        <is>
          <t>Fragment of the gold span</t>
        </is>
      </c>
      <c r="O130" s="11" t="n"/>
      <c r="P130" s="11" t="n"/>
      <c r="Q130" s="11" t="n"/>
      <c r="R130" s="11" t="n"/>
    </row>
    <row r="131">
      <c r="A131" s="8" t="inlineStr">
        <is>
          <t>S171</t>
        </is>
      </c>
      <c r="B131" s="8" t="inlineStr">
        <is>
          <t>two emotions, two causes</t>
        </is>
      </c>
      <c r="C131" s="8" t="inlineStr">
        <is>
          <t>found out that my ex is getting engaged from an instagram story. i felt a lump in my throat for like ten minutes. then i went for the gym session and the trainer said my form has improved a lot, i felt proud of myself.</t>
        </is>
      </c>
      <c r="D131" s="8" t="inlineStr">
        <is>
          <t>felt a lump</t>
        </is>
      </c>
      <c r="E131" s="8" t="inlineStr">
        <is>
          <t>sadness</t>
        </is>
      </c>
      <c r="F131" s="9" t="n">
        <v>0.4861</v>
      </c>
      <c r="G131" s="9" t="n">
        <v>0.3124</v>
      </c>
      <c r="H131" s="8" t="inlineStr">
        <is>
          <t>found out that my ex is getting engaged from an instagram story</t>
        </is>
      </c>
      <c r="I131" s="8" t="inlineStr">
        <is>
          <t>i felt a lump in my throat for like ten minutes [sadness] | i felt proud of myself [pride]</t>
        </is>
      </c>
      <c r="J131" s="8" t="inlineStr">
        <is>
          <t>partly overlaps a gold span</t>
        </is>
      </c>
      <c r="K131" s="10" t="inlineStr">
        <is>
          <t>boundary of a gold span</t>
        </is>
      </c>
      <c r="L131" s="10" t="n"/>
      <c r="M131" s="10" t="n"/>
      <c r="N131" s="10" t="inlineStr">
        <is>
          <t>Fragment of the gold span</t>
        </is>
      </c>
      <c r="O131" s="11" t="n"/>
      <c r="P131" s="11" t="n"/>
      <c r="Q131" s="11" t="n"/>
      <c r="R131" s="11" t="n"/>
    </row>
    <row r="132">
      <c r="A132" s="8" t="inlineStr">
        <is>
          <t>S218</t>
        </is>
      </c>
      <c r="B132" s="8" t="inlineStr">
        <is>
          <t>cause before emotion</t>
        </is>
      </c>
      <c r="C132" s="8" t="inlineStr">
        <is>
          <t>Ankit told me he would call at nine and then did not call at all. I waited with my phone in my hand like a fool, rehearsing what to say about his exam. At eleven he sent one line saying he fell asleep. I was not even angry about the sleeping, it was the way he did not think of messaging earlier. I typed a long reply and deleted it three times. I am so angry and tired of explaining the same thing again and again.</t>
        </is>
      </c>
      <c r="D132" s="8" t="inlineStr">
        <is>
          <t>was</t>
        </is>
      </c>
      <c r="E132" s="8" t="inlineStr">
        <is>
          <t>anger</t>
        </is>
      </c>
      <c r="F132" s="9" t="n">
        <v>0.4806</v>
      </c>
      <c r="G132" s="9" t="n">
        <v>0.2131</v>
      </c>
      <c r="H132" s="8" t="inlineStr">
        <is>
          <t>Ankit told me he would call at nine and then did not call at all</t>
        </is>
      </c>
      <c r="I132" s="8" t="inlineStr">
        <is>
          <t>I am so angry and tired of explaining the same thing again and again [anger]</t>
        </is>
      </c>
      <c r="J132" s="8" t="inlineStr">
        <is>
          <t>no overlap with gold</t>
        </is>
      </c>
      <c r="K132" s="10" t="inlineStr">
        <is>
          <t>not an emotion</t>
        </is>
      </c>
      <c r="L132" s="10" t="n"/>
      <c r="M132" s="10" t="n"/>
      <c r="N132" s="10" t="inlineStr">
        <is>
          <t>Fragment</t>
        </is>
      </c>
      <c r="O132" s="11" t="n"/>
      <c r="P132" s="11" t="n"/>
      <c r="Q132" s="11" t="n"/>
      <c r="R132" s="11" t="n"/>
    </row>
    <row r="133">
      <c r="A133" s="8" t="inlineStr">
        <is>
          <t>S339</t>
        </is>
      </c>
      <c r="B133" s="8" t="inlineStr">
        <is>
          <t>emotion only</t>
        </is>
      </c>
      <c r="C133" s="8" t="inlineStr">
        <is>
          <t>honestly overwhelmed right now.</t>
        </is>
      </c>
      <c r="D133" s="8" t="inlineStr">
        <is>
          <t>overwhelmed</t>
        </is>
      </c>
      <c r="E133" s="8" t="inlineStr">
        <is>
          <t>sadness</t>
        </is>
      </c>
      <c r="F133" s="9" t="n">
        <v>0.4752</v>
      </c>
      <c r="G133" s="9" t="n">
        <v>0.1314</v>
      </c>
      <c r="H133" s="8" t="inlineStr">
        <is>
          <t>(implicit)</t>
        </is>
      </c>
      <c r="I133" s="8" t="inlineStr">
        <is>
          <t>honestly overwhelmed right now [stress]</t>
        </is>
      </c>
      <c r="J133" s="8" t="inlineStr">
        <is>
          <t>partly overlaps a gold span</t>
        </is>
      </c>
      <c r="K133" s="10" t="inlineStr">
        <is>
          <t>boundary of a gold span</t>
        </is>
      </c>
      <c r="L133" s="10" t="n"/>
      <c r="M133" s="10" t="n"/>
      <c r="N133" s="10" t="inlineStr">
        <is>
          <t>Fragment of the gold span</t>
        </is>
      </c>
      <c r="O133" s="11" t="n"/>
      <c r="P133" s="11" t="n"/>
      <c r="Q133" s="11" t="n"/>
      <c r="R133" s="11" t="n"/>
    </row>
    <row r="134">
      <c r="A134" s="8" t="inlineStr">
        <is>
          <t>S277</t>
        </is>
      </c>
      <c r="B134" s="8" t="inlineStr">
        <is>
          <t>different sentences</t>
        </is>
      </c>
      <c r="C134" s="8" t="inlineStr">
        <is>
          <t>Veer posted my private photo on the class group without asking. Everyone reacted and it was so embarrassing. He removed it after ten minutes but the damage was done. I messaged him to say that was not okay and he replied with a laughing emoji. i am so angry i cannot even look at the group. I typed three versions of the message and finally sent the shortest one. He replied with a laughing emoji and a thumbs up. I turned off the notifications for the group and left my phone on the shelf.</t>
        </is>
      </c>
      <c r="D134" s="8" t="inlineStr">
        <is>
          <t>am so angry</t>
        </is>
      </c>
      <c r="E134" s="8" t="inlineStr">
        <is>
          <t>anger</t>
        </is>
      </c>
      <c r="F134" s="9" t="n">
        <v>0.4732</v>
      </c>
      <c r="G134" s="9" t="n">
        <v>0.2456</v>
      </c>
      <c r="H134" s="8" t="inlineStr">
        <is>
          <t>Veer posted my private photo on the class group without asking</t>
        </is>
      </c>
      <c r="I134" s="8" t="inlineStr">
        <is>
          <t>i am so angry i cannot even look at the group [anger]</t>
        </is>
      </c>
      <c r="J134" s="8" t="inlineStr">
        <is>
          <t>partly overlaps a gold span</t>
        </is>
      </c>
      <c r="K134" s="10" t="inlineStr">
        <is>
          <t>boundary of a gold span</t>
        </is>
      </c>
      <c r="L134" s="10" t="n"/>
      <c r="M134" s="10" t="n"/>
      <c r="N134" s="10" t="inlineStr">
        <is>
          <t>Fragment of the gold span</t>
        </is>
      </c>
      <c r="O134" s="11" t="n"/>
      <c r="P134" s="11" t="n"/>
      <c r="Q134" s="11" t="n"/>
      <c r="R134" s="11" t="n"/>
    </row>
    <row r="135">
      <c r="A135" s="8" t="inlineStr">
        <is>
          <t>S048</t>
        </is>
      </c>
      <c r="B135" s="8" t="inlineStr">
        <is>
          <t>different sentences</t>
        </is>
      </c>
      <c r="C135" s="8" t="inlineStr">
        <is>
          <t>The paper turned out to be much easier than I expected. I walked out of the exam hall so surprised, finally some good news. Everyone else was complaining but I had actually revised the right units this time. I checked my answers once more during the last half hour and still had time to draw the diagram neatly. After the paper I met my group near the vending machine and compared the answers to the long questions. Two of us had written the same formula and one had written something completely different. We all had a plate of fried rice at the canteen and then went back to the hostel to sleep.</t>
        </is>
      </c>
      <c r="D135" s="8" t="inlineStr">
        <is>
          <t>I walked out of</t>
        </is>
      </c>
      <c r="E135" s="8" t="inlineStr">
        <is>
          <t>surprise</t>
        </is>
      </c>
      <c r="F135" s="9" t="n">
        <v>0.4709</v>
      </c>
      <c r="G135" s="9" t="n">
        <v>0.988</v>
      </c>
      <c r="H135" s="8" t="inlineStr">
        <is>
          <t>the exam hall</t>
        </is>
      </c>
      <c r="I135" s="8" t="inlineStr">
        <is>
          <t>I walked out of the exam hall so surprised [surprise]</t>
        </is>
      </c>
      <c r="J135" s="8" t="inlineStr">
        <is>
          <t>partly overlaps a gold span</t>
        </is>
      </c>
      <c r="K135" s="10" t="inlineStr">
        <is>
          <t>not an emotion</t>
        </is>
      </c>
      <c r="L135" s="10" t="n"/>
      <c r="M135" s="10" t="n"/>
      <c r="N135" s="10" t="inlineStr">
        <is>
          <t>Covers the non-emotional part of the gold span</t>
        </is>
      </c>
      <c r="O135" s="11" t="n"/>
      <c r="P135" s="11" t="n"/>
      <c r="Q135" s="11" t="n"/>
      <c r="R135" s="11" t="n"/>
    </row>
    <row r="136">
      <c r="A136" s="8" t="inlineStr">
        <is>
          <t>S208</t>
        </is>
      </c>
      <c r="B136" s="8" t="inlineStr">
        <is>
          <t>cause before emotion</t>
        </is>
      </c>
      <c r="C136" s="8" t="inlineStr">
        <is>
          <t>got a rash on my arms after the new detergent and it is spreading. really worried it might be something serious.</t>
        </is>
      </c>
      <c r="D136" s="8" t="inlineStr">
        <is>
          <t>really worried</t>
        </is>
      </c>
      <c r="E136" s="8" t="inlineStr">
        <is>
          <t>surprise</t>
        </is>
      </c>
      <c r="F136" s="9" t="n">
        <v>0.4709</v>
      </c>
      <c r="G136" s="9" t="n">
        <v>0.1852</v>
      </c>
      <c r="H136" s="8" t="inlineStr">
        <is>
          <t>got a rash on my arms after the new detergent and it</t>
        </is>
      </c>
      <c r="I136" s="8" t="inlineStr">
        <is>
          <t>really worried it might be something serious [fear]</t>
        </is>
      </c>
      <c r="J136" s="8" t="inlineStr">
        <is>
          <t>partly overlaps a gold span</t>
        </is>
      </c>
      <c r="K136" s="10" t="inlineStr">
        <is>
          <t>boundary of a gold span</t>
        </is>
      </c>
      <c r="L136" s="10" t="n"/>
      <c r="M136" s="10" t="n"/>
      <c r="N136" s="10" t="inlineStr">
        <is>
          <t>Shorter version of the gold span</t>
        </is>
      </c>
      <c r="O136" s="11" t="n"/>
      <c r="P136" s="11" t="n"/>
      <c r="Q136" s="11" t="n"/>
      <c r="R136" s="11" t="n"/>
    </row>
    <row r="137">
      <c r="A137" s="8" t="inlineStr">
        <is>
          <t>S218</t>
        </is>
      </c>
      <c r="B137" s="8" t="inlineStr">
        <is>
          <t>cause before emotion</t>
        </is>
      </c>
      <c r="C137" s="8" t="inlineStr">
        <is>
          <t>Ankit told me he would call at nine and then did not call at all. I waited with my phone in my hand like a fool, rehearsing what to say about his exam. At eleven he sent one line saying he fell asleep. I was not even angry about the sleeping, it was the way he did not think of messaging earlier. I typed a long reply and deleted it three times. I am so angry and tired of explaining the same thing again and again.</t>
        </is>
      </c>
      <c r="D137" s="8" t="inlineStr">
        <is>
          <t>angry</t>
        </is>
      </c>
      <c r="E137" s="8" t="inlineStr">
        <is>
          <t>anger</t>
        </is>
      </c>
      <c r="F137" s="9" t="n">
        <v>0.4705</v>
      </c>
      <c r="G137" s="9" t="n">
        <v>0.2414</v>
      </c>
      <c r="H137" s="8" t="inlineStr">
        <is>
          <t>Ankit told me he would call at nine and then did not call at all</t>
        </is>
      </c>
      <c r="I137" s="8" t="inlineStr">
        <is>
          <t>I am so angry and tired of explaining the same thing again and again [anger]</t>
        </is>
      </c>
      <c r="J137" s="8" t="inlineStr">
        <is>
          <t>no overlap with gold</t>
        </is>
      </c>
      <c r="K137" s="10" t="inlineStr">
        <is>
          <t>not an emotion</t>
        </is>
      </c>
      <c r="L137" s="10" t="n"/>
      <c r="M137" s="10" t="n"/>
      <c r="N137" s="10" t="inlineStr">
        <is>
          <t>Negated ('I was not even angry about the sleeping')</t>
        </is>
      </c>
      <c r="O137" s="11" t="n"/>
      <c r="P137" s="11" t="n"/>
      <c r="Q137" s="11" t="n"/>
      <c r="R137" s="11" t="n"/>
    </row>
    <row r="138">
      <c r="A138" s="8" t="inlineStr">
        <is>
          <t>S221</t>
        </is>
      </c>
      <c r="B138" s="8" t="inlineStr">
        <is>
          <t>cause before emotion</t>
        </is>
      </c>
      <c r="C138" s="8" t="inlineStr">
        <is>
          <t>Neha stayed on call with me till 2 am while i fixed my resume. grateful for people like her, honestly.</t>
        </is>
      </c>
      <c r="D138" s="8" t="inlineStr">
        <is>
          <t>honestly</t>
        </is>
      </c>
      <c r="E138" s="8" t="inlineStr">
        <is>
          <t>joy</t>
        </is>
      </c>
      <c r="F138" s="9" t="n">
        <v>0.4691</v>
      </c>
      <c r="G138" s="9" t="n">
        <v>0.2169</v>
      </c>
      <c r="H138" s="8" t="inlineStr">
        <is>
          <t>Neha stayed on call with me till 2 am while i fixed my resume</t>
        </is>
      </c>
      <c r="I138" s="8" t="inlineStr">
        <is>
          <t>grateful for people like her [gratitude]</t>
        </is>
      </c>
      <c r="J138" s="8" t="inlineStr">
        <is>
          <t>no overlap with gold</t>
        </is>
      </c>
      <c r="K138" s="10" t="inlineStr">
        <is>
          <t>not an emotion</t>
        </is>
      </c>
      <c r="L138" s="10" t="n"/>
      <c r="M138" s="10" t="n"/>
      <c r="N138" s="10" t="inlineStr">
        <is>
          <t>Fragment</t>
        </is>
      </c>
      <c r="O138" s="11" t="n"/>
      <c r="P138" s="11" t="n"/>
      <c r="Q138" s="11" t="n"/>
      <c r="R138" s="11" t="n"/>
    </row>
    <row r="139">
      <c r="A139" s="8" t="inlineStr">
        <is>
          <t>S016</t>
        </is>
      </c>
      <c r="B139" s="8" t="inlineStr">
        <is>
          <t>cause before emotion</t>
        </is>
      </c>
      <c r="C139" s="8" t="inlineStr">
        <is>
          <t>Finished all my pending work by 6pm for once and made tea on the balcony. Feeling calm and content, this is all i want from a Sunday. The sky was orange and nobody was calling me for anything.</t>
        </is>
      </c>
      <c r="D139" s="8" t="inlineStr">
        <is>
          <t>this</t>
        </is>
      </c>
      <c r="E139" s="8" t="inlineStr">
        <is>
          <t>joy</t>
        </is>
      </c>
      <c r="F139" s="9" t="n">
        <v>0.4684</v>
      </c>
      <c r="G139" s="9" t="n">
        <v>0.199</v>
      </c>
      <c r="H139" s="8" t="inlineStr">
        <is>
          <t>Finished all my pending work by 6pm for once and made</t>
        </is>
      </c>
      <c r="I139" s="8" t="inlineStr">
        <is>
          <t>Feeling calm and content [contentment]</t>
        </is>
      </c>
      <c r="J139" s="8" t="inlineStr">
        <is>
          <t>no overlap with gold</t>
        </is>
      </c>
      <c r="K139" s="10" t="inlineStr">
        <is>
          <t>not an emotion</t>
        </is>
      </c>
      <c r="L139" s="10" t="n"/>
      <c r="M139" s="10" t="n"/>
      <c r="N139" s="10" t="inlineStr">
        <is>
          <t>Fragment</t>
        </is>
      </c>
      <c r="O139" s="11" t="n"/>
      <c r="P139" s="11" t="n"/>
      <c r="Q139" s="11" t="n"/>
      <c r="R139" s="11" t="n"/>
    </row>
    <row r="140">
      <c r="A140" s="8" t="inlineStr">
        <is>
          <t>S016</t>
        </is>
      </c>
      <c r="B140" s="8" t="inlineStr">
        <is>
          <t>cause before emotion</t>
        </is>
      </c>
      <c r="C140" s="8" t="inlineStr">
        <is>
          <t>Finished all my pending work by 6pm for once and made tea on the balcony. Feeling calm and content, this is all i want from a Sunday. The sky was orange and nobody was calling me for anything.</t>
        </is>
      </c>
      <c r="D140" s="8" t="inlineStr">
        <is>
          <t>want</t>
        </is>
      </c>
      <c r="E140" s="8" t="inlineStr">
        <is>
          <t>contentment</t>
        </is>
      </c>
      <c r="F140" s="9" t="n">
        <v>0.4675</v>
      </c>
      <c r="G140" s="9" t="n">
        <v>0.1908</v>
      </c>
      <c r="H140" s="8" t="inlineStr">
        <is>
          <t>Finished all my pending work by 6pm for once and made</t>
        </is>
      </c>
      <c r="I140" s="8" t="inlineStr">
        <is>
          <t>Feeling calm and content [contentment]</t>
        </is>
      </c>
      <c r="J140" s="8" t="inlineStr">
        <is>
          <t>no overlap with gold</t>
        </is>
      </c>
      <c r="K140" s="10" t="inlineStr">
        <is>
          <t>not an emotion</t>
        </is>
      </c>
      <c r="L140" s="10" t="n"/>
      <c r="M140" s="10" t="n"/>
      <c r="N140" s="10" t="inlineStr">
        <is>
          <t>Fragment</t>
        </is>
      </c>
      <c r="O140" s="11" t="n"/>
      <c r="P140" s="11" t="n"/>
      <c r="Q140" s="11" t="n"/>
      <c r="R140" s="11" t="n"/>
    </row>
    <row r="141">
      <c r="A141" s="8" t="inlineStr">
        <is>
          <t>S331</t>
        </is>
      </c>
      <c r="B141" s="8" t="inlineStr">
        <is>
          <t>one cause, two emotions</t>
        </is>
      </c>
      <c r="C141" s="8" t="inlineStr">
        <is>
          <t>Khushi told me she is pregnant and i am overjoyed for her but also a bit scared about how fast everyone is moving ahead. She showed me the scan on her phone and we both stared at it for a while.</t>
        </is>
      </c>
      <c r="D141" s="8" t="inlineStr">
        <is>
          <t>bit scared</t>
        </is>
      </c>
      <c r="E141" s="8" t="inlineStr">
        <is>
          <t>surprise</t>
        </is>
      </c>
      <c r="F141" s="9" t="n">
        <v>0.4668</v>
      </c>
      <c r="G141" s="9" t="n">
        <v>0.2217</v>
      </c>
      <c r="H141" s="8" t="inlineStr">
        <is>
          <t>Khushi told me she is pregnant and</t>
        </is>
      </c>
      <c r="I141" s="8" t="inlineStr">
        <is>
          <t>i am overjoyed for her [joy] | a bit scared about how fast everyone is moving ahead [fear]</t>
        </is>
      </c>
      <c r="J141" s="8" t="inlineStr">
        <is>
          <t>partly overlaps a gold span</t>
        </is>
      </c>
      <c r="K141" s="10" t="inlineStr">
        <is>
          <t>boundary of a gold span</t>
        </is>
      </c>
      <c r="L141" s="10" t="n"/>
      <c r="M141" s="10" t="n"/>
      <c r="N141" s="10" t="inlineStr">
        <is>
          <t>Fragment of the gold span</t>
        </is>
      </c>
      <c r="O141" s="11" t="n"/>
      <c r="P141" s="11" t="n"/>
      <c r="Q141" s="11" t="n"/>
      <c r="R141" s="11" t="n"/>
    </row>
    <row r="142">
      <c r="A142" s="8" t="inlineStr">
        <is>
          <t>S189</t>
        </is>
      </c>
      <c r="B142" s="8" t="inlineStr">
        <is>
          <t>one cause, two emotions</t>
        </is>
      </c>
      <c r="C142" s="8" t="inlineStr">
        <is>
          <t>the professor announced the project groups and i got paired with someone i have never spoken to. excited to meet someone new and nervous at the same time. i spent the break looking for his name on the class list.</t>
        </is>
      </c>
      <c r="D142" s="8" t="inlineStr">
        <is>
          <t>excited to</t>
        </is>
      </c>
      <c r="E142" s="8" t="inlineStr">
        <is>
          <t>joy</t>
        </is>
      </c>
      <c r="F142" s="9" t="n">
        <v>0.4546</v>
      </c>
      <c r="G142" s="9" t="n">
        <v>0.2558</v>
      </c>
      <c r="H142" s="8" t="inlineStr">
        <is>
          <t>the professor announced the project groups and i got paired with someone i have never spoken to</t>
        </is>
      </c>
      <c r="I142" s="8" t="inlineStr">
        <is>
          <t>excited to meet someone new [joy] | nervous at the same time [fear]</t>
        </is>
      </c>
      <c r="J142" s="8" t="inlineStr">
        <is>
          <t>partly overlaps a gold span</t>
        </is>
      </c>
      <c r="K142" s="10" t="inlineStr">
        <is>
          <t>boundary of a gold span</t>
        </is>
      </c>
      <c r="L142" s="10" t="n"/>
      <c r="M142" s="10" t="n"/>
      <c r="N142" s="10" t="inlineStr">
        <is>
          <t>Fragment of the gold span</t>
        </is>
      </c>
      <c r="O142" s="11" t="n"/>
      <c r="P142" s="11" t="n"/>
      <c r="Q142" s="11" t="n"/>
      <c r="R142" s="11" t="n"/>
    </row>
    <row r="143">
      <c r="A143" s="8" t="inlineStr">
        <is>
          <t>S046</t>
        </is>
      </c>
      <c r="B143" s="8" t="inlineStr">
        <is>
          <t>different sentences</t>
        </is>
      </c>
      <c r="C143" s="8" t="inlineStr">
        <is>
          <t>Joined the new gym near my place today. The trainer was really kind and showed me the machines slowly, without making me feel dumb. I feel quite relaxed about going now, not scared like before.</t>
        </is>
      </c>
      <c r="D143" s="8" t="inlineStr">
        <is>
          <t>feel</t>
        </is>
      </c>
      <c r="E143" s="8" t="inlineStr">
        <is>
          <t>guilt</t>
        </is>
      </c>
      <c r="F143" s="9" t="n">
        <v>0.454</v>
      </c>
      <c r="G143" s="9" t="n">
        <v>0.2661</v>
      </c>
      <c r="H143" s="8" t="inlineStr">
        <is>
          <t>Joined the new gym near my place today</t>
        </is>
      </c>
      <c r="I143" s="8" t="inlineStr">
        <is>
          <t>I feel quite relaxed about going now [contentment]</t>
        </is>
      </c>
      <c r="J143" s="8" t="inlineStr">
        <is>
          <t>no overlap with gold</t>
        </is>
      </c>
      <c r="K143" s="10" t="inlineStr">
        <is>
          <t>not an emotion</t>
        </is>
      </c>
      <c r="L143" s="10" t="n"/>
      <c r="M143" s="10" t="n"/>
      <c r="N143" s="10" t="inlineStr">
        <is>
          <t>Fragment</t>
        </is>
      </c>
      <c r="O143" s="11" t="n"/>
      <c r="P143" s="11" t="n"/>
      <c r="Q143" s="11" t="n"/>
      <c r="R143" s="11" t="n"/>
    </row>
    <row r="144">
      <c r="A144" s="8" t="inlineStr">
        <is>
          <t>S243</t>
        </is>
      </c>
      <c r="B144" s="8" t="inlineStr">
        <is>
          <t>cause after emotion</t>
        </is>
      </c>
      <c r="C144" s="8" t="inlineStr">
        <is>
          <t>I am nervous about the blood test tomorrow since last time they could not find my vein and poked me four times. They took three tries last time and my arm was bruised for a week. I have been drinking extra water since morning.</t>
        </is>
      </c>
      <c r="D144" s="8" t="inlineStr">
        <is>
          <t>am nervous</t>
        </is>
      </c>
      <c r="E144" s="8" t="inlineStr">
        <is>
          <t>fear</t>
        </is>
      </c>
      <c r="F144" s="9" t="n">
        <v>0.4476</v>
      </c>
      <c r="G144" s="9" t="n">
        <v>0.2201</v>
      </c>
      <c r="H144" s="8" t="inlineStr">
        <is>
          <t>the blood test tomorrow</t>
        </is>
      </c>
      <c r="I144" s="8" t="inlineStr">
        <is>
          <t>I am nervous about the blood test tomorrow [fear]</t>
        </is>
      </c>
      <c r="J144" s="8" t="inlineStr">
        <is>
          <t>partly overlaps a gold span</t>
        </is>
      </c>
      <c r="K144" s="10" t="inlineStr">
        <is>
          <t>boundary of a gold span</t>
        </is>
      </c>
      <c r="L144" s="10" t="n"/>
      <c r="M144" s="10" t="n"/>
      <c r="N144" s="10" t="inlineStr">
        <is>
          <t>Shorter version of the gold span</t>
        </is>
      </c>
      <c r="O144" s="11" t="n"/>
      <c r="P144" s="11" t="n"/>
      <c r="Q144" s="11" t="n"/>
      <c r="R144" s="11" t="n"/>
    </row>
    <row r="145">
      <c r="A145" s="8" t="inlineStr">
        <is>
          <t>S189</t>
        </is>
      </c>
      <c r="B145" s="8" t="inlineStr">
        <is>
          <t>one cause, two emotions</t>
        </is>
      </c>
      <c r="C145" s="8" t="inlineStr">
        <is>
          <t>the professor announced the project groups and i got paired with someone i have never spoken to. excited to meet someone new and nervous at the same time. i spent the break looking for his name on the class list.</t>
        </is>
      </c>
      <c r="D145" s="8" t="inlineStr">
        <is>
          <t>time</t>
        </is>
      </c>
      <c r="E145" s="8" t="inlineStr">
        <is>
          <t>fear</t>
        </is>
      </c>
      <c r="F145" s="9" t="n">
        <v>0.445</v>
      </c>
      <c r="G145" s="9" t="n">
        <v>0.165</v>
      </c>
      <c r="H145" s="8" t="inlineStr">
        <is>
          <t>the professor announced the project groups and i got paired with someone i have never spoken to</t>
        </is>
      </c>
      <c r="I145" s="8" t="inlineStr">
        <is>
          <t>excited to meet someone new [joy] | nervous at the same time [fear]</t>
        </is>
      </c>
      <c r="J145" s="8" t="inlineStr">
        <is>
          <t>partly overlaps a gold span</t>
        </is>
      </c>
      <c r="K145" s="10" t="inlineStr">
        <is>
          <t>not an emotion</t>
        </is>
      </c>
      <c r="L145" s="10" t="n"/>
      <c r="M145" s="10" t="n"/>
      <c r="N145" s="10" t="inlineStr">
        <is>
          <t>Fragment</t>
        </is>
      </c>
      <c r="O145" s="11" t="n"/>
      <c r="P145" s="11" t="n"/>
      <c r="Q145" s="11" t="n"/>
      <c r="R145" s="11" t="n"/>
    </row>
    <row r="146">
      <c r="A146" s="8" t="inlineStr">
        <is>
          <t>S253</t>
        </is>
      </c>
      <c r="B146" s="8" t="inlineStr">
        <is>
          <t>cause after emotion</t>
        </is>
      </c>
      <c r="C146" s="8" t="inlineStr">
        <is>
          <t>grateful for this quiet weekend because i really needed time away from the screens.</t>
        </is>
      </c>
      <c r="D146" s="8" t="inlineStr">
        <is>
          <t>i really</t>
        </is>
      </c>
      <c r="E146" s="8" t="inlineStr">
        <is>
          <t>stress</t>
        </is>
      </c>
      <c r="F146" s="9" t="n">
        <v>0.4438</v>
      </c>
      <c r="G146" s="9" t="n">
        <v>0.6775</v>
      </c>
      <c r="H146" s="8" t="inlineStr">
        <is>
          <t>(implicit)</t>
        </is>
      </c>
      <c r="I146" s="8" t="inlineStr">
        <is>
          <t>grateful for this quiet weekend [gratitude]</t>
        </is>
      </c>
      <c r="J146" s="8" t="inlineStr">
        <is>
          <t>no overlap with gold</t>
        </is>
      </c>
      <c r="K146" s="10" t="inlineStr">
        <is>
          <t>not an emotion</t>
        </is>
      </c>
      <c r="L146" s="10" t="n"/>
      <c r="M146" s="10" t="n"/>
      <c r="N146" s="10" t="inlineStr">
        <is>
          <t>Fragment</t>
        </is>
      </c>
      <c r="O146" s="11" t="n"/>
      <c r="P146" s="11" t="n"/>
      <c r="Q146" s="11" t="n"/>
      <c r="R146" s="11" t="n"/>
    </row>
    <row r="147">
      <c r="A147" s="8" t="inlineStr">
        <is>
          <t>S130</t>
        </is>
      </c>
      <c r="B147" s="8" t="inlineStr">
        <is>
          <t>cause after emotion</t>
        </is>
      </c>
      <c r="C147" s="8" t="inlineStr">
        <is>
          <t>kind of scared of my own thoughts tonight because the doctor said my reports need a follow up. I could not sleep and kept scrolling the same page. I put the phone on the charger and tried to read a magazine.</t>
        </is>
      </c>
      <c r="D147" s="8" t="inlineStr">
        <is>
          <t>kind of scared</t>
        </is>
      </c>
      <c r="E147" s="8" t="inlineStr">
        <is>
          <t>guilt</t>
        </is>
      </c>
      <c r="F147" s="9" t="n">
        <v>0.4416</v>
      </c>
      <c r="G147" s="9" t="n">
        <v>0.1816</v>
      </c>
      <c r="H147" s="8" t="inlineStr">
        <is>
          <t>thoughts tonight because the doctor said my reports need a follow up</t>
        </is>
      </c>
      <c r="I147" s="8" t="inlineStr">
        <is>
          <t>kind of scared of my own thoughts tonight [fear]</t>
        </is>
      </c>
      <c r="J147" s="8" t="inlineStr">
        <is>
          <t>partly overlaps a gold span</t>
        </is>
      </c>
      <c r="K147" s="10" t="inlineStr">
        <is>
          <t>boundary of a gold span</t>
        </is>
      </c>
      <c r="L147" s="10" t="n"/>
      <c r="M147" s="10" t="n"/>
      <c r="N147" s="10" t="inlineStr">
        <is>
          <t>Shorter version of the gold span</t>
        </is>
      </c>
      <c r="O147" s="11" t="n"/>
      <c r="P147" s="11" t="n"/>
      <c r="Q147" s="11" t="n"/>
      <c r="R147" s="11" t="n"/>
    </row>
    <row r="148">
      <c r="A148" s="8" t="inlineStr">
        <is>
          <t>S218</t>
        </is>
      </c>
      <c r="B148" s="8" t="inlineStr">
        <is>
          <t>cause before emotion</t>
        </is>
      </c>
      <c r="C148" s="8" t="inlineStr">
        <is>
          <t>Ankit told me he would call at nine and then did not call at all. I waited with my phone in my hand like a fool, rehearsing what to say about his exam. At eleven he sent one line saying he fell asleep. I was not even angry about the sleeping, it was the way he did not think of messaging earlier. I typed a long reply and deleted it three times. I am so angry and tired of explaining the same thing again and again.</t>
        </is>
      </c>
      <c r="D148" s="8" t="inlineStr">
        <is>
          <t>so angry</t>
        </is>
      </c>
      <c r="E148" s="8" t="inlineStr">
        <is>
          <t>anger</t>
        </is>
      </c>
      <c r="F148" s="9" t="n">
        <v>0.4415</v>
      </c>
      <c r="G148" s="9" t="n">
        <v>0.238</v>
      </c>
      <c r="H148" s="8" t="inlineStr">
        <is>
          <t>Ankit told me he would call at nine and then did not call at all</t>
        </is>
      </c>
      <c r="I148" s="8" t="inlineStr">
        <is>
          <t>I am so angry and tired of explaining the same thing again and again [anger]</t>
        </is>
      </c>
      <c r="J148" s="8" t="inlineStr">
        <is>
          <t>partly overlaps a gold span</t>
        </is>
      </c>
      <c r="K148" s="10" t="inlineStr">
        <is>
          <t>boundary of a gold span</t>
        </is>
      </c>
      <c r="L148" s="10" t="n"/>
      <c r="M148" s="10" t="n"/>
      <c r="N148" s="10" t="inlineStr">
        <is>
          <t>Shorter version of the gold span</t>
        </is>
      </c>
      <c r="O148" s="11" t="n"/>
      <c r="P148" s="11" t="n"/>
      <c r="Q148" s="11" t="n"/>
      <c r="R148" s="11" t="n"/>
    </row>
    <row r="149">
      <c r="A149" s="8" t="inlineStr">
        <is>
          <t>S280</t>
        </is>
      </c>
      <c r="B149" s="8" t="inlineStr">
        <is>
          <t>implicit cause</t>
        </is>
      </c>
      <c r="C149" s="8" t="inlineStr">
        <is>
          <t>something good is going to happen i can feel it. no logic, just a bright feeling since i woke up.</t>
        </is>
      </c>
      <c r="D149" s="8" t="inlineStr">
        <is>
          <t>happen</t>
        </is>
      </c>
      <c r="E149" s="8" t="inlineStr">
        <is>
          <t>joy</t>
        </is>
      </c>
      <c r="F149" s="9" t="n">
        <v>0.4404</v>
      </c>
      <c r="G149" s="9" t="n">
        <v>0.9539</v>
      </c>
      <c r="H149" s="8" t="inlineStr">
        <is>
          <t>(implicit)</t>
        </is>
      </c>
      <c r="I149" s="8" t="inlineStr">
        <is>
          <t>a bright feeling since i woke up [joy]</t>
        </is>
      </c>
      <c r="J149" s="8" t="inlineStr">
        <is>
          <t>no overlap with gold</t>
        </is>
      </c>
      <c r="K149" s="10" t="inlineStr">
        <is>
          <t>not an emotion</t>
        </is>
      </c>
      <c r="L149" s="10" t="n"/>
      <c r="M149" s="10" t="n"/>
      <c r="N149" s="10" t="inlineStr">
        <is>
          <t>Fragment</t>
        </is>
      </c>
      <c r="O149" s="11" t="n"/>
      <c r="P149" s="11" t="n"/>
      <c r="Q149" s="11" t="n"/>
      <c r="R149" s="11" t="n"/>
    </row>
    <row r="150">
      <c r="A150" s="8" t="inlineStr">
        <is>
          <t>S073</t>
        </is>
      </c>
      <c r="B150" s="8" t="inlineStr">
        <is>
          <t>two emotions, two causes</t>
        </is>
      </c>
      <c r="C150" s="8" t="inlineStr">
        <is>
          <t>Finally cleared the backlog paper and I felt such a relief, I almost danced in the corridor. It was hanging over me for a full year, I could not even look at that subject without feeling sick. Dad called after that and asked why it took me so long, and I was annoyed that he could not just be happy for me. I know he means well but it would have been nice to hear well done even once. I did not say any of this, just said okay and hung up.</t>
        </is>
      </c>
      <c r="D150" s="8" t="inlineStr">
        <is>
          <t>annoyed</t>
        </is>
      </c>
      <c r="E150" s="8" t="inlineStr">
        <is>
          <t>anger</t>
        </is>
      </c>
      <c r="F150" s="9" t="n">
        <v>0.4396</v>
      </c>
      <c r="G150" s="9" t="n">
        <v>0.2203</v>
      </c>
      <c r="H150" s="8" t="inlineStr">
        <is>
          <t>Finally cleared the backlog paper</t>
        </is>
      </c>
      <c r="I150" s="8" t="inlineStr">
        <is>
          <t>I felt such a relief, I almost danced in the corridor [joy] | I was annoyed that he could not just be happy for me [anger]</t>
        </is>
      </c>
      <c r="J150" s="8" t="inlineStr">
        <is>
          <t>partly overlaps a gold span</t>
        </is>
      </c>
      <c r="K150" s="10" t="inlineStr">
        <is>
          <t>boundary of a gold span</t>
        </is>
      </c>
      <c r="L150" s="10" t="n"/>
      <c r="M150" s="10" t="n"/>
      <c r="N150" s="10" t="inlineStr">
        <is>
          <t>Shorter version of the gold span</t>
        </is>
      </c>
      <c r="O150" s="11" t="n"/>
      <c r="P150" s="11" t="n"/>
      <c r="Q150" s="11" t="n"/>
      <c r="R150" s="11" t="n"/>
    </row>
    <row r="151">
      <c r="A151" s="8" t="inlineStr">
        <is>
          <t>S054</t>
        </is>
      </c>
      <c r="B151" s="8" t="inlineStr">
        <is>
          <t>implicit cause</t>
        </is>
      </c>
      <c r="C151" s="8" t="inlineStr">
        <is>
          <t>Woke up with this weird heaviness in my chest today. Nothing happened, I just feel anxious for no reason. Tried deep breathing, helped a little.</t>
        </is>
      </c>
      <c r="D151" s="8" t="inlineStr">
        <is>
          <t>feel anxious</t>
        </is>
      </c>
      <c r="E151" s="8" t="inlineStr">
        <is>
          <t>sadness</t>
        </is>
      </c>
      <c r="F151" s="9" t="n">
        <v>0.4374</v>
      </c>
      <c r="G151" s="9" t="n">
        <v>0.277</v>
      </c>
      <c r="H151" s="8" t="inlineStr">
        <is>
          <t>(implicit)</t>
        </is>
      </c>
      <c r="I151" s="8" t="inlineStr">
        <is>
          <t>I just feel anxious for no reason [fear]</t>
        </is>
      </c>
      <c r="J151" s="8" t="inlineStr">
        <is>
          <t>partly overlaps a gold span</t>
        </is>
      </c>
      <c r="K151" s="10" t="inlineStr">
        <is>
          <t>boundary of a gold span</t>
        </is>
      </c>
      <c r="L151" s="10" t="n"/>
      <c r="M151" s="10" t="n"/>
      <c r="N151" s="10" t="inlineStr">
        <is>
          <t>Shorter version of the gold span</t>
        </is>
      </c>
      <c r="O151" s="11" t="n"/>
      <c r="P151" s="11" t="n"/>
      <c r="Q151" s="11" t="n"/>
      <c r="R151" s="11" t="n"/>
    </row>
    <row r="152">
      <c r="A152" s="8" t="inlineStr">
        <is>
          <t>S101</t>
        </is>
      </c>
      <c r="B152" s="8" t="inlineStr">
        <is>
          <t>cause before emotion</t>
        </is>
      </c>
      <c r="C152" s="8" t="inlineStr">
        <is>
          <t>my knee has been hurting since the football match and today the physio said it might be a ligament thing. really scared i wont be able to play this season. need an MRI first. I have been icing it twice a day and wearing the brace even in the hostel. The team practice is on and I am only allowed to sit and watch.</t>
        </is>
      </c>
      <c r="D152" s="8" t="inlineStr">
        <is>
          <t>scared</t>
        </is>
      </c>
      <c r="E152" s="8" t="inlineStr">
        <is>
          <t>fear</t>
        </is>
      </c>
      <c r="F152" s="9" t="n">
        <v>0.4348</v>
      </c>
      <c r="G152" s="9" t="n">
        <v>0.2251</v>
      </c>
      <c r="H152" s="8" t="inlineStr">
        <is>
          <t>hurting since the football match and today the physio said it might be a ligament</t>
        </is>
      </c>
      <c r="I152" s="8" t="inlineStr">
        <is>
          <t>really scared i wont be able to play this season [fear]</t>
        </is>
      </c>
      <c r="J152" s="8" t="inlineStr">
        <is>
          <t>partly overlaps a gold span</t>
        </is>
      </c>
      <c r="K152" s="10" t="inlineStr">
        <is>
          <t>boundary of a gold span</t>
        </is>
      </c>
      <c r="L152" s="10" t="n"/>
      <c r="M152" s="10" t="n"/>
      <c r="N152" s="10" t="inlineStr">
        <is>
          <t>Shorter version of the gold span</t>
        </is>
      </c>
      <c r="O152" s="11" t="n"/>
      <c r="P152" s="11" t="n"/>
      <c r="Q152" s="11" t="n"/>
      <c r="R152" s="11" t="n"/>
    </row>
    <row r="153">
      <c r="A153" s="8" t="inlineStr">
        <is>
          <t>S029</t>
        </is>
      </c>
      <c r="B153" s="8" t="inlineStr">
        <is>
          <t>cause after emotion</t>
        </is>
      </c>
      <c r="C153" s="8" t="inlineStr">
        <is>
          <t>Proud of myself today because I said no to my seniors for the first time and held my ground. I sat in the library for an hour afterwards to calm down, and nobody asked me anything. I made a note in my diary about how it went.</t>
        </is>
      </c>
      <c r="D153" s="8" t="inlineStr">
        <is>
          <t>Proud of</t>
        </is>
      </c>
      <c r="E153" s="8" t="inlineStr">
        <is>
          <t>pride</t>
        </is>
      </c>
      <c r="F153" s="9" t="n">
        <v>0.4347</v>
      </c>
      <c r="G153" s="9" t="n">
        <v>0.4694</v>
      </c>
      <c r="H153" s="8" t="inlineStr">
        <is>
          <t>myself today because I said no to my seniors for the first time and held my ground</t>
        </is>
      </c>
      <c r="I153" s="8" t="inlineStr">
        <is>
          <t>Proud of myself today [pride]</t>
        </is>
      </c>
      <c r="J153" s="8" t="inlineStr">
        <is>
          <t>partly overlaps a gold span</t>
        </is>
      </c>
      <c r="K153" s="10" t="inlineStr">
        <is>
          <t>boundary of a gold span</t>
        </is>
      </c>
      <c r="L153" s="10" t="n"/>
      <c r="M153" s="10" t="n"/>
      <c r="N153" s="10" t="inlineStr">
        <is>
          <t>Fragment of the gold span</t>
        </is>
      </c>
      <c r="O153" s="11" t="n"/>
      <c r="P153" s="11" t="n"/>
      <c r="Q153" s="11" t="n"/>
      <c r="R153" s="11" t="n"/>
    </row>
    <row r="154">
      <c r="A154" s="8" t="inlineStr">
        <is>
          <t>S314</t>
        </is>
      </c>
      <c r="B154" s="8" t="inlineStr">
        <is>
          <t>two emotions, two causes</t>
        </is>
      </c>
      <c r="C154" s="8" t="inlineStr">
        <is>
          <t>I snapped at a junior during the lab and i immediately regretted it, felt like the worst senior ever. Later i apologised in front of everyone and he smiled, and i felt proud that i could say sorry without making excuses. It was a small mistake with the connections and the readings were off by a bit. I fixed the circuit myself and then we did the experiment once again from the start.</t>
        </is>
      </c>
      <c r="D154" s="8" t="inlineStr">
        <is>
          <t>making excuses</t>
        </is>
      </c>
      <c r="E154" s="8" t="inlineStr">
        <is>
          <t>pride</t>
        </is>
      </c>
      <c r="F154" s="9" t="n">
        <v>0.434</v>
      </c>
      <c r="G154" s="9" t="n">
        <v>0.9392</v>
      </c>
      <c r="H154" s="8" t="inlineStr">
        <is>
          <t>apologised in front of everyone and he smiled</t>
        </is>
      </c>
      <c r="I154" s="8" t="inlineStr">
        <is>
          <t>felt like the worst senior ever [guilt] | i felt proud that i could say sorry without making excuses [pride]</t>
        </is>
      </c>
      <c r="J154" s="8" t="inlineStr">
        <is>
          <t>partly overlaps a gold span</t>
        </is>
      </c>
      <c r="K154" s="10" t="inlineStr">
        <is>
          <t>not an emotion</t>
        </is>
      </c>
      <c r="L154" s="10" t="n"/>
      <c r="M154" s="10" t="n"/>
      <c r="N154" s="10" t="inlineStr">
        <is>
          <t>Part of the cause, not the feeling</t>
        </is>
      </c>
      <c r="O154" s="11" t="n"/>
      <c r="P154" s="11" t="n"/>
      <c r="Q154" s="11" t="n"/>
      <c r="R154" s="11" t="n"/>
    </row>
    <row r="155">
      <c r="A155" s="8" t="inlineStr">
        <is>
          <t>S339</t>
        </is>
      </c>
      <c r="B155" s="8" t="inlineStr">
        <is>
          <t>emotion only</t>
        </is>
      </c>
      <c r="C155" s="8" t="inlineStr">
        <is>
          <t>honestly overwhelmed right now.</t>
        </is>
      </c>
      <c r="D155" s="8" t="inlineStr">
        <is>
          <t>now</t>
        </is>
      </c>
      <c r="E155" s="8" t="inlineStr">
        <is>
          <t>sadness</t>
        </is>
      </c>
      <c r="F155" s="9" t="n">
        <v>0.4022</v>
      </c>
      <c r="G155" s="9" t="n">
        <v>0.1371</v>
      </c>
      <c r="H155" s="8" t="inlineStr">
        <is>
          <t>(implicit)</t>
        </is>
      </c>
      <c r="I155" s="8" t="inlineStr">
        <is>
          <t>honestly overwhelmed right now [stress]</t>
        </is>
      </c>
      <c r="J155" s="8" t="inlineStr">
        <is>
          <t>partly overlaps a gold span</t>
        </is>
      </c>
      <c r="K155" s="10" t="inlineStr">
        <is>
          <t>not an emotion</t>
        </is>
      </c>
      <c r="L155" s="10" t="n"/>
      <c r="M155" s="10" t="n"/>
      <c r="N155" s="10" t="inlineStr">
        <is>
          <t>Fragment</t>
        </is>
      </c>
      <c r="O155" s="11" t="n"/>
      <c r="P155" s="11" t="n"/>
      <c r="Q155" s="11" t="n"/>
      <c r="R155" s="11" t="n"/>
    </row>
    <row r="156">
      <c r="A156" s="8" t="inlineStr">
        <is>
          <t>S167</t>
        </is>
      </c>
      <c r="B156" s="8" t="inlineStr">
        <is>
          <t>two emotions, two causes</t>
        </is>
      </c>
      <c r="C156" s="8" t="inlineStr">
        <is>
          <t>my roommate and i cooked dal khichdi at midnight and laughed so much that the warden knocked, i was so happy. in the morning my mom called and said my cousin is getting married and i must come home for ten days. i got annoyed immediately, i have two submissions.</t>
        </is>
      </c>
      <c r="D156" s="8" t="inlineStr">
        <is>
          <t>much</t>
        </is>
      </c>
      <c r="E156" s="8" t="inlineStr">
        <is>
          <t>joy</t>
        </is>
      </c>
      <c r="F156" s="9" t="n">
        <v>0.3865</v>
      </c>
      <c r="G156" s="9" t="n">
        <v>0.3324</v>
      </c>
      <c r="H156" s="8" t="inlineStr">
        <is>
          <t>my roommate and i cooked dal khichdi at midnight and laughed</t>
        </is>
      </c>
      <c r="I156" s="8" t="inlineStr">
        <is>
          <t>i was so happy [joy] | i got annoyed immediately [anger]</t>
        </is>
      </c>
      <c r="J156" s="8" t="inlineStr">
        <is>
          <t>no overlap with gold</t>
        </is>
      </c>
      <c r="K156" s="10" t="inlineStr">
        <is>
          <t>not an emotion</t>
        </is>
      </c>
      <c r="L156" s="10" t="n"/>
      <c r="M156" s="10" t="n"/>
      <c r="N156" s="10" t="inlineStr">
        <is>
          <t>Fragment</t>
        </is>
      </c>
      <c r="O156" s="11" t="n"/>
      <c r="P156" s="11" t="n"/>
      <c r="Q156" s="11" t="n"/>
      <c r="R156" s="11" t="n"/>
    </row>
    <row r="157">
      <c r="A157" s="8" t="inlineStr">
        <is>
          <t>S297</t>
        </is>
      </c>
      <c r="B157" s="8" t="inlineStr">
        <is>
          <t>implicit cause</t>
        </is>
      </c>
      <c r="C157" s="8" t="inlineStr">
        <is>
          <t>lying on the floor with the fan on and i feel completely fine. no reason, just fine. The rooftop was empty and the lights from the next building were blinking. I leaned on the railing.</t>
        </is>
      </c>
      <c r="D157" s="8" t="inlineStr">
        <is>
          <t>completely</t>
        </is>
      </c>
      <c r="E157" s="8" t="inlineStr">
        <is>
          <t>contentment</t>
        </is>
      </c>
      <c r="F157" s="9" t="n">
        <v>0.3687</v>
      </c>
      <c r="G157" s="9" t="n">
        <v>0.232</v>
      </c>
      <c r="H157" s="8" t="inlineStr">
        <is>
          <t>(implicit)</t>
        </is>
      </c>
      <c r="I157" s="8" t="inlineStr">
        <is>
          <t>i feel completely fine [contentment]</t>
        </is>
      </c>
      <c r="J157" s="8" t="inlineStr">
        <is>
          <t>partly overlaps a gold span</t>
        </is>
      </c>
      <c r="K157" s="10" t="inlineStr">
        <is>
          <t>boundary of a gold span</t>
        </is>
      </c>
      <c r="L157" s="10" t="n"/>
      <c r="M157" s="10" t="n"/>
      <c r="N157" s="10" t="inlineStr">
        <is>
          <t>Fragment of the gold span</t>
        </is>
      </c>
      <c r="O157" s="11" t="n"/>
      <c r="P157" s="11" t="n"/>
      <c r="Q157" s="11" t="n"/>
      <c r="R157" s="11" t="n"/>
    </row>
    <row r="158">
      <c r="A158" s="8" t="inlineStr">
        <is>
          <t>S289</t>
        </is>
      </c>
      <c r="B158" s="8" t="inlineStr">
        <is>
          <t>implicit cause</t>
        </is>
      </c>
      <c r="C158" s="8" t="inlineStr">
        <is>
          <t>kinda surprised at how calm i am today. i expected to be a mess and i am not. idk why.</t>
        </is>
      </c>
      <c r="D158" s="8" t="inlineStr">
        <is>
          <t>kind</t>
        </is>
      </c>
      <c r="E158" s="8" t="inlineStr">
        <is>
          <t>surprise</t>
        </is>
      </c>
      <c r="F158" s="9" t="n">
        <v>0.3276</v>
      </c>
      <c r="G158" s="9" t="n">
        <v>0.1824</v>
      </c>
      <c r="H158" s="8" t="inlineStr">
        <is>
          <t>how calm i am today</t>
        </is>
      </c>
      <c r="I158" s="8" t="inlineStr">
        <is>
          <t>kinda surprised at how calm i am today [surprise]</t>
        </is>
      </c>
      <c r="J158" s="8" t="inlineStr">
        <is>
          <t>partly overlaps a gold span</t>
        </is>
      </c>
      <c r="K158" s="10" t="inlineStr">
        <is>
          <t>not an emotion</t>
        </is>
      </c>
      <c r="L158" s="10" t="n"/>
      <c r="M158" s="10" t="n"/>
      <c r="N158" s="10" t="inlineStr">
        <is>
          <t>Fragment</t>
        </is>
      </c>
      <c r="O158" s="11" t="n"/>
      <c r="P158" s="11" t="n"/>
      <c r="Q158" s="11" t="n"/>
      <c r="R158" s="11" t="n"/>
    </row>
  </sheetData>
  <autoFilter ref="A1:R158"/>
  <dataValidations count="2">
    <dataValidation sqref="O2:O158" showDropDown="0" showInputMessage="0" showErrorMessage="0" allowBlank="1" type="list">
      <formula1>"real emotion missed by labels,restates a gold emotion,boundary of a gold span,not an emotion,unsure"</formula1>
    </dataValidation>
    <dataValidation sqref="P2:P158" showDropDown="0" showInputMessage="0" showErrorMessage="0" allowBlank="1" type="list">
      <formula1>"joy,contentment,pride,gratitude,sadness,anger,fear,stress,guilt,surprise"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60" customWidth="1" min="3" max="3"/>
    <col width="30" customWidth="1" min="4" max="4"/>
    <col width="12" customWidth="1" min="5" max="5"/>
    <col width="34" customWidth="1" min="6" max="6"/>
    <col width="34" customWidth="1" min="7" max="7"/>
    <col width="20" customWidth="1" min="8" max="8"/>
    <col width="40" customWidth="1" min="9" max="9"/>
    <col width="20" customWidth="1" min="10" max="10"/>
    <col width="30" customWidth="1" min="11" max="11"/>
  </cols>
  <sheetData>
    <row r="1">
      <c r="A1" s="5" t="inlineStr">
        <is>
          <t>entry_id</t>
        </is>
      </c>
      <c r="B1" s="5" t="inlineStr">
        <is>
          <t>structure</t>
        </is>
      </c>
      <c r="C1" s="5" t="inlineStr">
        <is>
          <t>entry text</t>
        </is>
      </c>
      <c r="D1" s="5" t="inlineStr">
        <is>
          <t>gold emotion clause</t>
        </is>
      </c>
      <c r="E1" s="5" t="inlineStr">
        <is>
          <t>gold emotion</t>
        </is>
      </c>
      <c r="F1" s="5" t="inlineStr">
        <is>
          <t>gold cause</t>
        </is>
      </c>
      <c r="G1" s="5" t="inlineStr">
        <is>
          <t>closest prediction</t>
        </is>
      </c>
      <c r="H1" s="6" t="inlineStr">
        <is>
          <t>suggested verdict</t>
        </is>
      </c>
      <c r="I1" s="6" t="inlineStr">
        <is>
          <t>why (suggestion)</t>
        </is>
      </c>
      <c r="J1" s="7" t="inlineStr">
        <is>
          <t>verdict</t>
        </is>
      </c>
      <c r="K1" s="7" t="inlineStr">
        <is>
          <t>notes</t>
        </is>
      </c>
    </row>
    <row r="2">
      <c r="A2" s="8" t="inlineStr">
        <is>
          <t>S010</t>
        </is>
      </c>
      <c r="B2" s="8" t="inlineStr">
        <is>
          <t>cause before emotion</t>
        </is>
      </c>
      <c r="C2" s="8" t="inlineStr">
        <is>
          <t>Dad called to say we are leaving for my cousin's wedding on Friday, for the whole week. Kind of dreading it, relatives will ask about placements again. I have a project review on Monday too and now I will have to skip it. The wedding hall is far from the city and we will be staying at a guest house for four nights. The bags are already by the door and the tickets are on my phone. I told the team that I would try to join the review online, but the signal there is usually bad. I packed my laptop and charger anyway, just in case.</t>
        </is>
      </c>
      <c r="D2" s="8" t="inlineStr">
        <is>
          <t>Kind of dreading it</t>
        </is>
      </c>
      <c r="E2" s="8" t="inlineStr">
        <is>
          <t>fear</t>
        </is>
      </c>
      <c r="F2" s="8" t="inlineStr">
        <is>
          <t>Dad called to say we are leaving for my cousin's wedding on Friday, for the whole week</t>
        </is>
      </c>
      <c r="G2" s="8" t="inlineStr">
        <is>
          <t>(no overlapping prediction)</t>
        </is>
      </c>
      <c r="H2" s="10" t="inlineStr">
        <is>
          <t>model error</t>
        </is>
      </c>
      <c r="I2" s="10" t="inlineStr">
        <is>
          <t>Clear fear clause; model found nothing</t>
        </is>
      </c>
      <c r="J2" s="11" t="n"/>
      <c r="K2" s="11" t="n"/>
    </row>
    <row r="3">
      <c r="A3" s="8" t="inlineStr">
        <is>
          <t>S025</t>
        </is>
      </c>
      <c r="B3" s="8" t="inlineStr">
        <is>
          <t>cause before emotion</t>
        </is>
      </c>
      <c r="C3" s="8" t="inlineStr">
        <is>
          <t>Three exams in four days and I have only finished one syllabus. Overwhelmed and cannot even think straight. I made a timetable but I already know I will not follow it. I have also started to skip meals to save time. The subjects are mostly theory and I keep losing my place in the textbook.</t>
        </is>
      </c>
      <c r="D3" s="8" t="inlineStr">
        <is>
          <t>Overwhelmed and cannot even think straight</t>
        </is>
      </c>
      <c r="E3" s="8" t="inlineStr">
        <is>
          <t>stress</t>
        </is>
      </c>
      <c r="F3" s="8" t="inlineStr">
        <is>
          <t>Three exams in four days and I have only finished one syllabus</t>
        </is>
      </c>
      <c r="G3" s="8" t="inlineStr">
        <is>
          <t>Overwhelmed [stress]</t>
        </is>
      </c>
      <c r="H3" s="10" t="inlineStr">
        <is>
          <t>model error</t>
        </is>
      </c>
      <c r="I3" s="10" t="inlineStr">
        <is>
          <t>Gold fine; model kept only 'Overwhelmed'</t>
        </is>
      </c>
      <c r="J3" s="11" t="n"/>
      <c r="K3" s="11" t="n"/>
    </row>
    <row r="4">
      <c r="A4" s="8" t="inlineStr">
        <is>
          <t>S029</t>
        </is>
      </c>
      <c r="B4" s="8" t="inlineStr">
        <is>
          <t>cause after emotion</t>
        </is>
      </c>
      <c r="C4" s="8" t="inlineStr">
        <is>
          <t>Proud of myself today because I said no to my seniors for the first time and held my ground. I sat in the library for an hour afterwards to calm down, and nobody asked me anything. I made a note in my diary about how it went.</t>
        </is>
      </c>
      <c r="D4" s="8" t="inlineStr">
        <is>
          <t>Proud of myself today</t>
        </is>
      </c>
      <c r="E4" s="8" t="inlineStr">
        <is>
          <t>pride</t>
        </is>
      </c>
      <c r="F4" s="8" t="inlineStr">
        <is>
          <t>I said no to my seniors for the first time and held my ground</t>
        </is>
      </c>
      <c r="G4" s="8" t="inlineStr">
        <is>
          <t>Proud of [pride]</t>
        </is>
      </c>
      <c r="H4" s="10" t="inlineStr">
        <is>
          <t>model error</t>
        </is>
      </c>
      <c r="I4" s="10" t="inlineStr">
        <is>
          <t>Model cut the span short</t>
        </is>
      </c>
      <c r="J4" s="11" t="n"/>
      <c r="K4" s="11" t="n"/>
    </row>
    <row r="5">
      <c r="A5" s="8" t="inlineStr">
        <is>
          <t>S036</t>
        </is>
      </c>
      <c r="B5" s="8" t="inlineStr">
        <is>
          <t>different sentences</t>
        </is>
      </c>
      <c r="C5" s="8" t="inlineStr">
        <is>
          <t>The metro was delayed by forty minutes and then it started pouring right outside the station. I reached office drenched and late, and my laptop bag was soaked at the bottom. The security guard made me sign the late register like I was in school. I sat at my desk with wet socks for an hour and could not focus on anything. At lunch the canteen had run out of everything except plain rice. Then there was a bug in production at 4 and I had to stay till 8 to fix it. Today was just one of those days where I wanted to scream into a pillow. When I finally got home I just lay on the bed in my office clothes and stared at the fan. I finally ate dinner at ten from a leftover packet of chips and a cup of instant noodles. I plugged in my phone, checked the meeting list and set an alarm for six. Then I scrolled through photos from the trip for a while and put the phone on the charger. The rain had stopped by then and the street outside was full of puddles reflecting the yellow lights. I could hear the neighbours' television through the wall and a pressure cooker whistling somewhere down the corridor.</t>
        </is>
      </c>
      <c r="D5" s="8" t="inlineStr">
        <is>
          <t>I wanted to scream into a pillow</t>
        </is>
      </c>
      <c r="E5" s="8" t="inlineStr">
        <is>
          <t>anger</t>
        </is>
      </c>
      <c r="F5" s="8" t="inlineStr">
        <is>
          <t>The metro was delayed by forty minutes and then it started pouring right outside the station</t>
        </is>
      </c>
      <c r="G5" s="8" t="inlineStr">
        <is>
          <t>(no overlapping prediction)</t>
        </is>
      </c>
      <c r="H5" s="10" t="inlineStr">
        <is>
          <t>model error</t>
        </is>
      </c>
      <c r="I5" s="10" t="inlineStr">
        <is>
          <t>Clear anger clause; model found nothing</t>
        </is>
      </c>
      <c r="J5" s="11" t="n"/>
      <c r="K5" s="11" t="n"/>
    </row>
    <row r="6">
      <c r="A6" s="8" t="inlineStr">
        <is>
          <t>S040</t>
        </is>
      </c>
      <c r="B6" s="8" t="inlineStr">
        <is>
          <t>different sentences</t>
        </is>
      </c>
      <c r="C6" s="8" t="inlineStr">
        <is>
          <t>Spent the whole Saturday cleaning my room and sorting old notes. Found my school diary in the cupboard, behind two broken chargers, and read it twice. The handwriting is so bad and the plans I made at 14 are hilarious. There was a page where I wrote that I will become an astronaut by 25. I am smiling as I write this, such sweet memories.</t>
        </is>
      </c>
      <c r="D6" s="8" t="inlineStr">
        <is>
          <t>I am smiling as I write this, such sweet memories</t>
        </is>
      </c>
      <c r="E6" s="8" t="inlineStr">
        <is>
          <t>contentment</t>
        </is>
      </c>
      <c r="F6" s="8" t="inlineStr">
        <is>
          <t>Found my school diary in the cupboard, behind two broken chargers, and read it twice</t>
        </is>
      </c>
      <c r="G6" s="8" t="inlineStr">
        <is>
          <t>am smiling [joy]</t>
        </is>
      </c>
      <c r="H6" s="10" t="inlineStr">
        <is>
          <t>model error</t>
        </is>
      </c>
      <c r="I6" s="10" t="inlineStr">
        <is>
          <t>Gold fine; model kept a fragment and called it joy</t>
        </is>
      </c>
      <c r="J6" s="11" t="n"/>
      <c r="K6" s="11" t="n"/>
    </row>
    <row r="7">
      <c r="A7" s="8" t="inlineStr">
        <is>
          <t>S045</t>
        </is>
      </c>
      <c r="B7" s="8" t="inlineStr">
        <is>
          <t>different sentences</t>
        </is>
      </c>
      <c r="C7" s="8" t="inlineStr">
        <is>
          <t>My boyfriend and I had a fight about the trip money. He said I always make things about myself, right in the middle of the cafe, and people were looking. I did not cry there but I held it in the whole way back. I have been so angry since then and I do not even want to message him. Part of me wants him to apologise first, the other part is too tired to wait.</t>
        </is>
      </c>
      <c r="D7" s="8" t="inlineStr">
        <is>
          <t>I have been so angry since then</t>
        </is>
      </c>
      <c r="E7" s="8" t="inlineStr">
        <is>
          <t>anger</t>
        </is>
      </c>
      <c r="F7" s="8" t="inlineStr">
        <is>
          <t>He said I always make things about myself, right in the middle of the cafe</t>
        </is>
      </c>
      <c r="G7" s="8" t="inlineStr">
        <is>
          <t>(no overlapping prediction)</t>
        </is>
      </c>
      <c r="H7" s="10" t="inlineStr">
        <is>
          <t>model error</t>
        </is>
      </c>
      <c r="I7" s="10" t="inlineStr">
        <is>
          <t>Clear anger clause; model found nothing</t>
        </is>
      </c>
      <c r="J7" s="11" t="n"/>
      <c r="K7" s="11" t="n"/>
    </row>
    <row r="8">
      <c r="A8" s="8" t="inlineStr">
        <is>
          <t>S048</t>
        </is>
      </c>
      <c r="B8" s="8" t="inlineStr">
        <is>
          <t>different sentences</t>
        </is>
      </c>
      <c r="C8" s="8" t="inlineStr">
        <is>
          <t>The paper turned out to be much easier than I expected. I walked out of the exam hall so surprised, finally some good news. Everyone else was complaining but I had actually revised the right units this time. I checked my answers once more during the last half hour and still had time to draw the diagram neatly. After the paper I met my group near the vending machine and compared the answers to the long questions. Two of us had written the same formula and one had written something completely different. We all had a plate of fried rice at the canteen and then went back to the hostel to sleep.</t>
        </is>
      </c>
      <c r="D8" s="8" t="inlineStr">
        <is>
          <t>I walked out of the exam hall so surprised</t>
        </is>
      </c>
      <c r="E8" s="8" t="inlineStr">
        <is>
          <t>surprise</t>
        </is>
      </c>
      <c r="F8" s="8" t="inlineStr">
        <is>
          <t>The paper turned out to be much easier than I expected</t>
        </is>
      </c>
      <c r="G8" s="8" t="inlineStr">
        <is>
          <t>I walked out of [surprise]</t>
        </is>
      </c>
      <c r="H8" s="10" t="inlineStr">
        <is>
          <t>gold boundary off</t>
        </is>
      </c>
      <c r="I8" s="10" t="inlineStr">
        <is>
          <t>Gold includes 'I walked out of the exam hall', which is action, not feeling</t>
        </is>
      </c>
      <c r="J8" s="11" t="n"/>
      <c r="K8" s="11" t="n"/>
    </row>
    <row r="9">
      <c r="A9" s="8" t="inlineStr">
        <is>
          <t>S054</t>
        </is>
      </c>
      <c r="B9" s="8" t="inlineStr">
        <is>
          <t>implicit cause</t>
        </is>
      </c>
      <c r="C9" s="8" t="inlineStr">
        <is>
          <t>Woke up with this weird heaviness in my chest today. Nothing happened, I just feel anxious for no reason. Tried deep breathing, helped a little.</t>
        </is>
      </c>
      <c r="D9" s="8" t="inlineStr">
        <is>
          <t>I just feel anxious for no reason</t>
        </is>
      </c>
      <c r="E9" s="8" t="inlineStr">
        <is>
          <t>fear</t>
        </is>
      </c>
      <c r="F9" s="8" t="inlineStr">
        <is>
          <t>(implicit)</t>
        </is>
      </c>
      <c r="G9" s="8" t="inlineStr">
        <is>
          <t>feel anxious [sadness]</t>
        </is>
      </c>
      <c r="H9" s="10" t="inlineStr">
        <is>
          <t>model error</t>
        </is>
      </c>
      <c r="I9" s="10" t="inlineStr">
        <is>
          <t>Model cut the span short and called it sadness</t>
        </is>
      </c>
      <c r="J9" s="11" t="n"/>
      <c r="K9" s="11" t="n"/>
    </row>
    <row r="10">
      <c r="A10" s="8" t="inlineStr">
        <is>
          <t>S056</t>
        </is>
      </c>
      <c r="B10" s="8" t="inlineStr">
        <is>
          <t>implicit cause</t>
        </is>
      </c>
      <c r="C10" s="8" t="inlineStr">
        <is>
          <t>Another day, same routine. I am just tired of everything lately, do not even want to open my laptop. I make tea, drink half of it, and leave the rest on the table. The same playlist has been on repeat since lunch.</t>
        </is>
      </c>
      <c r="D10" s="8" t="inlineStr">
        <is>
          <t>I am just tired of everything lately</t>
        </is>
      </c>
      <c r="E10" s="8" t="inlineStr">
        <is>
          <t>stress</t>
        </is>
      </c>
      <c r="F10" s="8" t="inlineStr">
        <is>
          <t>(implicit)</t>
        </is>
      </c>
      <c r="G10" s="8" t="inlineStr">
        <is>
          <t>(no overlapping prediction)</t>
        </is>
      </c>
      <c r="H10" s="10" t="inlineStr">
        <is>
          <t>model error</t>
        </is>
      </c>
      <c r="I10" s="10" t="inlineStr">
        <is>
          <t>Clear stress clause; model found nothing</t>
        </is>
      </c>
      <c r="J10" s="11" t="n"/>
      <c r="K10" s="11" t="n"/>
    </row>
    <row r="11">
      <c r="A11" s="8" t="inlineStr">
        <is>
          <t>S057</t>
        </is>
      </c>
      <c r="B11" s="8" t="inlineStr">
        <is>
          <t>implicit cause</t>
        </is>
      </c>
      <c r="C11" s="8" t="inlineStr">
        <is>
          <t>Kind of a quiet day. Did my usual stuff. I feel okay, nothing to complain about really. Had dal chawal for lunch and talked to a couple of people in the corridor. Watched one episode before sleeping.</t>
        </is>
      </c>
      <c r="D11" s="8" t="inlineStr">
        <is>
          <t>I feel okay, nothing to complain about really</t>
        </is>
      </c>
      <c r="E11" s="8" t="inlineStr">
        <is>
          <t>contentment</t>
        </is>
      </c>
      <c r="F11" s="8" t="inlineStr">
        <is>
          <t>(implicit)</t>
        </is>
      </c>
      <c r="G11" s="8" t="inlineStr">
        <is>
          <t>I feel okay [contentment]</t>
        </is>
      </c>
      <c r="H11" s="10" t="inlineStr">
        <is>
          <t>model error</t>
        </is>
      </c>
      <c r="I11" s="10" t="inlineStr">
        <is>
          <t>Model cut the span short</t>
        </is>
      </c>
      <c r="J11" s="11" t="n"/>
      <c r="K11" s="11" t="n"/>
    </row>
    <row r="12">
      <c r="A12" s="8" t="inlineStr">
        <is>
          <t>S070</t>
        </is>
      </c>
      <c r="B12" s="8" t="inlineStr">
        <is>
          <t>two emotions, two causes</t>
        </is>
      </c>
      <c r="C12" s="8" t="inlineStr">
        <is>
          <t>My girlfriend lied to me about where she was last Friday and I found out through Instagram. I am so angry. At the same time I feel guilty for checking her profile in the first place. I do not know which one of us is more at fault.</t>
        </is>
      </c>
      <c r="D12" s="8" t="inlineStr">
        <is>
          <t>I feel guilty</t>
        </is>
      </c>
      <c r="E12" s="8" t="inlineStr">
        <is>
          <t>guilt</t>
        </is>
      </c>
      <c r="F12" s="8" t="inlineStr">
        <is>
          <t>checking her profile in the first place</t>
        </is>
      </c>
      <c r="G12" s="8" t="inlineStr">
        <is>
          <t>I feel guilty for checking her [guilt]</t>
        </is>
      </c>
      <c r="H12" s="10" t="inlineStr">
        <is>
          <t>model error</t>
        </is>
      </c>
      <c r="I12" s="10" t="inlineStr">
        <is>
          <t>Model's span ran into the cause</t>
        </is>
      </c>
      <c r="J12" s="11" t="n"/>
      <c r="K12" s="11" t="n"/>
    </row>
    <row r="13">
      <c r="A13" s="8" t="inlineStr">
        <is>
          <t>S073</t>
        </is>
      </c>
      <c r="B13" s="8" t="inlineStr">
        <is>
          <t>two emotions, two causes</t>
        </is>
      </c>
      <c r="C13" s="8" t="inlineStr">
        <is>
          <t>Finally cleared the backlog paper and I felt such a relief, I almost danced in the corridor. It was hanging over me for a full year, I could not even look at that subject without feeling sick. Dad called after that and asked why it took me so long, and I was annoyed that he could not just be happy for me. I know he means well but it would have been nice to hear well done even once. I did not say any of this, just said okay and hung up.</t>
        </is>
      </c>
      <c r="D13" s="8" t="inlineStr">
        <is>
          <t>I was annoyed that he could not just be happy for me</t>
        </is>
      </c>
      <c r="E13" s="8" t="inlineStr">
        <is>
          <t>anger</t>
        </is>
      </c>
      <c r="F13" s="8" t="inlineStr">
        <is>
          <t>Dad called after that and asked why it took me so long</t>
        </is>
      </c>
      <c r="G13" s="8" t="inlineStr">
        <is>
          <t>annoyed [anger]</t>
        </is>
      </c>
      <c r="H13" s="10" t="inlineStr">
        <is>
          <t>gold boundary off</t>
        </is>
      </c>
      <c r="I13" s="10" t="inlineStr">
        <is>
          <t>Gold includes the cause content ('that he could not just be happy for me')</t>
        </is>
      </c>
      <c r="J13" s="11" t="n"/>
      <c r="K13" s="11" t="n"/>
    </row>
    <row r="14">
      <c r="A14" s="8" t="inlineStr">
        <is>
          <t>S074</t>
        </is>
      </c>
      <c r="B14" s="8" t="inlineStr">
        <is>
          <t>two emotions, two causes</t>
        </is>
      </c>
      <c r="C14" s="8" t="inlineStr">
        <is>
          <t>Kartik made fun of my accent in front of the whole class and I wanted to disappear right there. My face was burning and the professor pretended not to hear. Later Neha came and sat next to me and said she liked how I speak, it made my day. I almost cried but in a good way. Nobody in the class said anything for a few seconds and then the lecture just continued. During the break I took my bottle and went to the corridor to avoid the others. When I came back there was a note on my desk that said the next group discussion was moved to the library. I folded the note and kept it in my notebook.</t>
        </is>
      </c>
      <c r="D14" s="8" t="inlineStr">
        <is>
          <t>I wanted to disappear right there</t>
        </is>
      </c>
      <c r="E14" s="8" t="inlineStr">
        <is>
          <t>guilt</t>
        </is>
      </c>
      <c r="F14" s="8" t="inlineStr">
        <is>
          <t>Kartik made fun of my accent in front of the whole class</t>
        </is>
      </c>
      <c r="G14" s="8" t="inlineStr">
        <is>
          <t>(no overlapping prediction)</t>
        </is>
      </c>
      <c r="H14" s="10" t="inlineStr">
        <is>
          <t>model error</t>
        </is>
      </c>
      <c r="I14" s="10" t="inlineStr">
        <is>
          <t>Embarrassment clause; model found nothing</t>
        </is>
      </c>
      <c r="J14" s="11" t="n"/>
      <c r="K14" s="11" t="n"/>
    </row>
    <row r="15">
      <c r="A15" s="8" t="inlineStr">
        <is>
          <t>S074</t>
        </is>
      </c>
      <c r="B15" s="8" t="inlineStr">
        <is>
          <t>two emotions, two causes</t>
        </is>
      </c>
      <c r="C15" s="8" t="inlineStr">
        <is>
          <t>Kartik made fun of my accent in front of the whole class and I wanted to disappear right there. My face was burning and the professor pretended not to hear. Later Neha came and sat next to me and said she liked how I speak, it made my day. I almost cried but in a good way. Nobody in the class said anything for a few seconds and then the lecture just continued. During the break I took my bottle and went to the corridor to avoid the others. When I came back there was a note on my desk that said the next group discussion was moved to the library. I folded the note and kept it in my notebook.</t>
        </is>
      </c>
      <c r="D15" s="8" t="inlineStr">
        <is>
          <t>it made my day</t>
        </is>
      </c>
      <c r="E15" s="8" t="inlineStr">
        <is>
          <t>joy</t>
        </is>
      </c>
      <c r="F15" s="8" t="inlineStr">
        <is>
          <t>Neha came and sat next to me and said she liked how I speak</t>
        </is>
      </c>
      <c r="G15" s="8" t="inlineStr">
        <is>
          <t>(no overlapping prediction)</t>
        </is>
      </c>
      <c r="H15" s="10" t="inlineStr">
        <is>
          <t>model error</t>
        </is>
      </c>
      <c r="I15" s="10" t="inlineStr">
        <is>
          <t>Clear joy clause; model found nothing</t>
        </is>
      </c>
      <c r="J15" s="11" t="n"/>
      <c r="K15" s="11" t="n"/>
    </row>
    <row r="16">
      <c r="A16" s="8" t="inlineStr">
        <is>
          <t>S077</t>
        </is>
      </c>
      <c r="B16" s="8" t="inlineStr">
        <is>
          <t>two emotions, two causes</t>
        </is>
      </c>
      <c r="C16" s="8" t="inlineStr">
        <is>
          <t>Mummy's surgery was today and the doctors said everything went well, I cried from relief. I had been sitting in the waiting area since 7 with Papa, and neither of us could eat anything. Every time the door opened my heart jumped. When the nurse finally came out and smiled, I just collapsed on the chair. Papa held my hand and did not say anything, he just kept nodding. I called my sister and she was screaming and crying at the same time on the phone. I am also so tired and stressed from running around the hospital since morning. There were forms to sign, medicines to buy from the other building and the billing counter was a mess. I have not eaten properly in two days and my feet are aching. But she is okay, that is what matters. I will sleep for a week after this. The hospital canteen ran out of tea by nine, so I had a packet of biscuits from the vending machine. Visiting hours ended at eight and we were allowed to stay only in the waiting area. A man at the next bench was reading a newspaper upside down and a child kept running up and down the corridor with a plastic bottle.</t>
        </is>
      </c>
      <c r="D16" s="8" t="inlineStr">
        <is>
          <t>so tired and stressed</t>
        </is>
      </c>
      <c r="E16" s="8" t="inlineStr">
        <is>
          <t>stress</t>
        </is>
      </c>
      <c r="F16" s="8" t="inlineStr">
        <is>
          <t>running around the hospital since morning</t>
        </is>
      </c>
      <c r="G16" s="8" t="inlineStr">
        <is>
          <t>so tired and stressed from running around the [stress]</t>
        </is>
      </c>
      <c r="H16" s="10" t="inlineStr">
        <is>
          <t>model error</t>
        </is>
      </c>
      <c r="I16" s="10" t="inlineStr">
        <is>
          <t>Model's span ran into the cause</t>
        </is>
      </c>
      <c r="J16" s="11" t="n"/>
      <c r="K16" s="11" t="n"/>
    </row>
    <row r="17">
      <c r="A17" s="8" t="inlineStr">
        <is>
          <t>S079</t>
        </is>
      </c>
      <c r="B17" s="8" t="inlineStr">
        <is>
          <t>two emotions, two causes</t>
        </is>
      </c>
      <c r="C17" s="8" t="inlineStr">
        <is>
          <t>My landlord returned the full deposit without any deduction and I was so surprised. I had already written off half of it in my head. But the new flat is 3 km farther from college and I already hate the commute. Another hour on the bus every day.</t>
        </is>
      </c>
      <c r="D17" s="8" t="inlineStr">
        <is>
          <t>I already hate the commute</t>
        </is>
      </c>
      <c r="E17" s="8" t="inlineStr">
        <is>
          <t>anger</t>
        </is>
      </c>
      <c r="F17" s="8" t="inlineStr">
        <is>
          <t>the new flat is 3 km farther from college</t>
        </is>
      </c>
      <c r="G17" s="8" t="inlineStr">
        <is>
          <t>(no overlapping prediction)</t>
        </is>
      </c>
      <c r="H17" s="10" t="inlineStr">
        <is>
          <t>model error</t>
        </is>
      </c>
      <c r="I17" s="10" t="inlineStr">
        <is>
          <t>Clear anger clause; model found nothing</t>
        </is>
      </c>
      <c r="J17" s="11" t="n"/>
      <c r="K17" s="11" t="n"/>
    </row>
    <row r="18">
      <c r="A18" s="8" t="inlineStr">
        <is>
          <t>S080</t>
        </is>
      </c>
      <c r="B18" s="8" t="inlineStr">
        <is>
          <t>two emotions, two causes</t>
        </is>
      </c>
      <c r="C18" s="8" t="inlineStr">
        <is>
          <t>Anjali messaged to say she is leaving the project team, and I felt betrayed after all the late nights. Then Sir called me in and offered me the lead role, I was stunned. I walked out of his cabin not sure whether to laugh or panic.</t>
        </is>
      </c>
      <c r="D18" s="8" t="inlineStr">
        <is>
          <t>I was stunned</t>
        </is>
      </c>
      <c r="E18" s="8" t="inlineStr">
        <is>
          <t>surprise</t>
        </is>
      </c>
      <c r="F18" s="8" t="inlineStr">
        <is>
          <t>Sir called me in and offered me the lead role</t>
        </is>
      </c>
      <c r="G18" s="8" t="inlineStr">
        <is>
          <t>(no overlapping prediction)</t>
        </is>
      </c>
      <c r="H18" s="10" t="inlineStr">
        <is>
          <t>model error</t>
        </is>
      </c>
      <c r="I18" s="10" t="inlineStr">
        <is>
          <t>Clear surprise clause; model found nothing</t>
        </is>
      </c>
      <c r="J18" s="11" t="n"/>
      <c r="K18" s="11" t="n"/>
    </row>
    <row r="19">
      <c r="A19" s="8" t="inlineStr">
        <is>
          <t>S082</t>
        </is>
      </c>
      <c r="B19" s="8" t="inlineStr">
        <is>
          <t>two emotions, two causes</t>
        </is>
      </c>
      <c r="C19" s="8" t="inlineStr">
        <is>
          <t>My girlfriend and I finally cleared the air after two weeks of not talking, I feel so relieved and happy. We sat on the terrace till late and talked more than we have in months. But I am worried it will happen again because we did not really talk about the root problem. I keep telling myself to not overthink.</t>
        </is>
      </c>
      <c r="D19" s="8" t="inlineStr">
        <is>
          <t>I am worried it will happen again</t>
        </is>
      </c>
      <c r="E19" s="8" t="inlineStr">
        <is>
          <t>fear</t>
        </is>
      </c>
      <c r="F19" s="8" t="inlineStr">
        <is>
          <t>we did not really talk about the root problem</t>
        </is>
      </c>
      <c r="G19" s="8" t="inlineStr">
        <is>
          <t>I am worried [fear]</t>
        </is>
      </c>
      <c r="H19" s="10" t="inlineStr">
        <is>
          <t>gold boundary off</t>
        </is>
      </c>
      <c r="I19" s="10" t="inlineStr">
        <is>
          <t>Gold includes the worry content ('it will happen again')</t>
        </is>
      </c>
      <c r="J19" s="11" t="n"/>
      <c r="K19" s="11" t="n"/>
    </row>
    <row r="20">
      <c r="A20" s="8" t="inlineStr">
        <is>
          <t>S083</t>
        </is>
      </c>
      <c r="B20" s="8" t="inlineStr">
        <is>
          <t>two emotions, two causes</t>
        </is>
      </c>
      <c r="C20" s="8" t="inlineStr">
        <is>
          <t>My professor praised my paper in front of the class and I felt proud and a bit shy. After class my labmate said I just got lucky, and it stung more than I want to admit. I know he did not mean it badly. Still it stayed with me till night. The paper was about graph algorithms and I had worked on it for almost the whole semester. In the lab afterwards two people asked me for the code and I shared the link. I made a cup of coffee and sat at my desk till late, rereading the review comments and the mistakes I had marked in red.</t>
        </is>
      </c>
      <c r="D20" s="8" t="inlineStr">
        <is>
          <t>I felt proud and a bit shy</t>
        </is>
      </c>
      <c r="E20" s="8" t="inlineStr">
        <is>
          <t>pride</t>
        </is>
      </c>
      <c r="F20" s="8" t="inlineStr">
        <is>
          <t>My professor praised my paper in front of the class</t>
        </is>
      </c>
      <c r="G20" s="8" t="inlineStr">
        <is>
          <t>I felt proud [pride]</t>
        </is>
      </c>
      <c r="H20" s="10" t="inlineStr">
        <is>
          <t>gold boundary off</t>
        </is>
      </c>
      <c r="I20" s="10" t="inlineStr">
        <is>
          <t>Gold merges pride and shyness into one span</t>
        </is>
      </c>
      <c r="J20" s="11" t="n"/>
      <c r="K20" s="11" t="n"/>
    </row>
    <row r="21">
      <c r="A21" s="8" t="inlineStr">
        <is>
          <t>S086</t>
        </is>
      </c>
      <c r="B21" s="8" t="inlineStr">
        <is>
          <t>one cause, two emotions</t>
        </is>
      </c>
      <c r="C21" s="8" t="inlineStr">
        <is>
          <t>Saw my name on the interview shortlist for Infosys. So excited and nervous at the same time. The list is on the department board and I took a photo of it in case it gets removed. The interviews will be held in the seminar hall.</t>
        </is>
      </c>
      <c r="D21" s="8" t="inlineStr">
        <is>
          <t>So excited</t>
        </is>
      </c>
      <c r="E21" s="8" t="inlineStr">
        <is>
          <t>joy</t>
        </is>
      </c>
      <c r="F21" s="8" t="inlineStr">
        <is>
          <t>Saw my name on the interview shortlist for Infosys</t>
        </is>
      </c>
      <c r="G21" s="8" t="inlineStr">
        <is>
          <t>So excited and nervous [joy]</t>
        </is>
      </c>
      <c r="H21" s="10" t="inlineStr">
        <is>
          <t>model error</t>
        </is>
      </c>
      <c r="I21" s="10" t="inlineStr">
        <is>
          <t>Model merged excited and nervous into one span</t>
        </is>
      </c>
      <c r="J21" s="11" t="n"/>
      <c r="K21" s="11" t="n"/>
    </row>
    <row r="22">
      <c r="A22" s="8" t="inlineStr">
        <is>
          <t>S086</t>
        </is>
      </c>
      <c r="B22" s="8" t="inlineStr">
        <is>
          <t>one cause, two emotions</t>
        </is>
      </c>
      <c r="C22" s="8" t="inlineStr">
        <is>
          <t>Saw my name on the interview shortlist for Infosys. So excited and nervous at the same time. The list is on the department board and I took a photo of it in case it gets removed. The interviews will be held in the seminar hall.</t>
        </is>
      </c>
      <c r="D22" s="8" t="inlineStr">
        <is>
          <t>nervous at the same time</t>
        </is>
      </c>
      <c r="E22" s="8" t="inlineStr">
        <is>
          <t>fear</t>
        </is>
      </c>
      <c r="F22" s="8" t="inlineStr">
        <is>
          <t>Saw my name on the interview shortlist for Infosys</t>
        </is>
      </c>
      <c r="G22" s="8" t="inlineStr">
        <is>
          <t>So excited and nervous [joy]</t>
        </is>
      </c>
      <c r="H22" s="10" t="inlineStr">
        <is>
          <t>model error</t>
        </is>
      </c>
      <c r="I22" s="10" t="inlineStr">
        <is>
          <t>Model merged excited and nervous into one span</t>
        </is>
      </c>
      <c r="J22" s="11" t="n"/>
      <c r="K22" s="11" t="n"/>
    </row>
    <row r="23">
      <c r="A23" s="8" t="inlineStr">
        <is>
          <t>S101</t>
        </is>
      </c>
      <c r="B23" s="8" t="inlineStr">
        <is>
          <t>cause before emotion</t>
        </is>
      </c>
      <c r="C23" s="8" t="inlineStr">
        <is>
          <t>my knee has been hurting since the football match and today the physio said it might be a ligament thing. really scared i wont be able to play this season. need an MRI first. I have been icing it twice a day and wearing the brace even in the hostel. The team practice is on and I am only allowed to sit and watch.</t>
        </is>
      </c>
      <c r="D23" s="8" t="inlineStr">
        <is>
          <t>really scared i wont be able to play this season</t>
        </is>
      </c>
      <c r="E23" s="8" t="inlineStr">
        <is>
          <t>fear</t>
        </is>
      </c>
      <c r="F23" s="8" t="inlineStr">
        <is>
          <t>the physio said it might be a ligament thing</t>
        </is>
      </c>
      <c r="G23" s="8" t="inlineStr">
        <is>
          <t>scared [fear]</t>
        </is>
      </c>
      <c r="H23" s="10" t="inlineStr">
        <is>
          <t>gold boundary off</t>
        </is>
      </c>
      <c r="I23" s="10" t="inlineStr">
        <is>
          <t>Gold includes the worry content ('i wont be able to play this season')</t>
        </is>
      </c>
      <c r="J23" s="11" t="n"/>
      <c r="K23" s="11" t="n"/>
    </row>
    <row r="24">
      <c r="A24" s="8" t="inlineStr">
        <is>
          <t>S115</t>
        </is>
      </c>
      <c r="B24" s="8" t="inlineStr">
        <is>
          <t>cause before emotion</t>
        </is>
      </c>
      <c r="C24" s="8" t="inlineStr">
        <is>
          <t>she said yes!! i asked her to the farewell and she smiled and said yes. i am sooo happy my hands are still shaking. We were standing near the stairs after the rehearsal and there were people around. She tucked her hair behind her ear and said it again to be sure.</t>
        </is>
      </c>
      <c r="D24" s="8" t="inlineStr">
        <is>
          <t>i am sooo happy my hands are still shaking</t>
        </is>
      </c>
      <c r="E24" s="8" t="inlineStr">
        <is>
          <t>joy</t>
        </is>
      </c>
      <c r="F24" s="8" t="inlineStr">
        <is>
          <t>i asked her to the farewell and she smiled and said yes</t>
        </is>
      </c>
      <c r="G24" s="8" t="inlineStr">
        <is>
          <t>i am sooo happy [joy]</t>
        </is>
      </c>
      <c r="H24" s="10" t="inlineStr">
        <is>
          <t>model error</t>
        </is>
      </c>
      <c r="I24" s="10" t="inlineStr">
        <is>
          <t>Model cut the span short</t>
        </is>
      </c>
      <c r="J24" s="11" t="n"/>
      <c r="K24" s="11" t="n"/>
    </row>
    <row r="25">
      <c r="A25" s="8" t="inlineStr">
        <is>
          <t>S119</t>
        </is>
      </c>
      <c r="B25" s="8" t="inlineStr">
        <is>
          <t>cause before emotion</t>
        </is>
      </c>
      <c r="C25" s="8" t="inlineStr">
        <is>
          <t>my manager forwarded my small script to the whole team as a best practice. did not see that coming at all. It was just a ten line script that renames the files and nobody had noticed it. They are asking me to present it in the next meeting.</t>
        </is>
      </c>
      <c r="D25" s="8" t="inlineStr">
        <is>
          <t>did not see that coming at all</t>
        </is>
      </c>
      <c r="E25" s="8" t="inlineStr">
        <is>
          <t>surprise</t>
        </is>
      </c>
      <c r="F25" s="8" t="inlineStr">
        <is>
          <t>my manager forwarded my small script to the whole team as a best practice</t>
        </is>
      </c>
      <c r="G25" s="8" t="inlineStr">
        <is>
          <t>did [surprise]</t>
        </is>
      </c>
      <c r="H25" s="10" t="inlineStr">
        <is>
          <t>model error</t>
        </is>
      </c>
      <c r="I25" s="10" t="inlineStr">
        <is>
          <t>Model kept only 'did'</t>
        </is>
      </c>
      <c r="J25" s="11" t="n"/>
      <c r="K25" s="11" t="n"/>
    </row>
    <row r="26">
      <c r="A26" s="8" t="inlineStr">
        <is>
          <t>S130</t>
        </is>
      </c>
      <c r="B26" s="8" t="inlineStr">
        <is>
          <t>cause after emotion</t>
        </is>
      </c>
      <c r="C26" s="8" t="inlineStr">
        <is>
          <t>kind of scared of my own thoughts tonight because the doctor said my reports need a follow up. I could not sleep and kept scrolling the same page. I put the phone on the charger and tried to read a magazine.</t>
        </is>
      </c>
      <c r="D26" s="8" t="inlineStr">
        <is>
          <t>kind of scared of my own thoughts tonight</t>
        </is>
      </c>
      <c r="E26" s="8" t="inlineStr">
        <is>
          <t>fear</t>
        </is>
      </c>
      <c r="F26" s="8" t="inlineStr">
        <is>
          <t>the doctor said my reports need a follow up</t>
        </is>
      </c>
      <c r="G26" s="8" t="inlineStr">
        <is>
          <t>kind of scared [guilt]</t>
        </is>
      </c>
      <c r="H26" s="10" t="inlineStr">
        <is>
          <t>gold boundary off</t>
        </is>
      </c>
      <c r="I26" s="10" t="inlineStr">
        <is>
          <t>Gold includes 'of my own thoughts tonight' (context)</t>
        </is>
      </c>
      <c r="J26" s="11" t="n"/>
      <c r="K26" s="11" t="n"/>
    </row>
    <row r="27">
      <c r="A27" s="8" t="inlineStr">
        <is>
          <t>S133</t>
        </is>
      </c>
      <c r="B27" s="8" t="inlineStr">
        <is>
          <t>different sentences</t>
        </is>
      </c>
      <c r="C27" s="8" t="inlineStr">
        <is>
          <t>my boyfriend did not reply to my text for the whole day and then sent a thumbs up in the night. i know he has exams. still it hurt, i just wanted two proper lines from him. I put the phone away and cleaned my desk for an hour. Then I made noodles and watched a documentary about birds.</t>
        </is>
      </c>
      <c r="D27" s="8" t="inlineStr">
        <is>
          <t>still it hurt</t>
        </is>
      </c>
      <c r="E27" s="8" t="inlineStr">
        <is>
          <t>sadness</t>
        </is>
      </c>
      <c r="F27" s="8" t="inlineStr">
        <is>
          <t>my boyfriend did not reply to my text for the whole day and then sent a thumbs up in the night</t>
        </is>
      </c>
      <c r="G27" s="8" t="inlineStr">
        <is>
          <t>hurt [sadness]</t>
        </is>
      </c>
      <c r="H27" s="10" t="inlineStr">
        <is>
          <t>model error</t>
        </is>
      </c>
      <c r="I27" s="10" t="inlineStr">
        <is>
          <t>Model kept only 'hurt'</t>
        </is>
      </c>
      <c r="J27" s="11" t="n"/>
      <c r="K27" s="11" t="n"/>
    </row>
    <row r="28">
      <c r="A28" s="8" t="inlineStr">
        <is>
          <t>S135</t>
        </is>
      </c>
      <c r="B28" s="8" t="inlineStr">
        <is>
          <t>different sentences</t>
        </is>
      </c>
      <c r="C28" s="8" t="inlineStr">
        <is>
          <t>my scholarship got renewed for another year and the mail came at 5pm. i read it standing in the corridor three times. i am genuinely so happy i called home from the staircase. I took a screenshot and sent it to my parents. The reply was a long list of thumbs up and a photo of the sweet box that they had opened. After that i went back to the lab and did the pending reading. The rest of the day passed in a blur of small things. i also filled the form for the next installment and uploaded the documents one by one. The upload page kept timing out so it took forty minutes in total.</t>
        </is>
      </c>
      <c r="D28" s="8" t="inlineStr">
        <is>
          <t>i am genuinely so happy</t>
        </is>
      </c>
      <c r="E28" s="8" t="inlineStr">
        <is>
          <t>joy</t>
        </is>
      </c>
      <c r="F28" s="8" t="inlineStr">
        <is>
          <t>my scholarship got renewed for another year</t>
        </is>
      </c>
      <c r="G28" s="8" t="inlineStr">
        <is>
          <t>i am genuinely so happy i called home from the staircase [joy]</t>
        </is>
      </c>
      <c r="H28" s="10" t="inlineStr">
        <is>
          <t>model error</t>
        </is>
      </c>
      <c r="I28" s="10" t="inlineStr">
        <is>
          <t>Model's span ran into the action that followed</t>
        </is>
      </c>
      <c r="J28" s="11" t="n"/>
      <c r="K28" s="11" t="n"/>
    </row>
    <row r="29">
      <c r="A29" s="8" t="inlineStr">
        <is>
          <t>S138</t>
        </is>
      </c>
      <c r="B29" s="8" t="inlineStr">
        <is>
          <t>different sentences</t>
        </is>
      </c>
      <c r="C29" s="8" t="inlineStr">
        <is>
          <t>papa told me again that my cousin earns more than me at the same age. i was at the dining table and everyone heard it. i just got so angry i left my food and went to my room. Someone kept refilling the plates and changing the topic. Even the cousins were looking at the floor.</t>
        </is>
      </c>
      <c r="D29" s="8" t="inlineStr">
        <is>
          <t>i just got so angry i left my food and went to my room</t>
        </is>
      </c>
      <c r="E29" s="8" t="inlineStr">
        <is>
          <t>anger</t>
        </is>
      </c>
      <c r="F29" s="8" t="inlineStr">
        <is>
          <t>papa told me again that my cousin earns more than me at the same age</t>
        </is>
      </c>
      <c r="G29" s="8" t="inlineStr">
        <is>
          <t>i just got so angry [anger]</t>
        </is>
      </c>
      <c r="H29" s="10" t="inlineStr">
        <is>
          <t>gold boundary off</t>
        </is>
      </c>
      <c r="I29" s="10" t="inlineStr">
        <is>
          <t>Gold includes the action ('i left my food and went to my room')</t>
        </is>
      </c>
      <c r="J29" s="11" t="n"/>
      <c r="K29" s="11" t="n"/>
    </row>
    <row r="30">
      <c r="A30" s="8" t="inlineStr">
        <is>
          <t>S140</t>
        </is>
      </c>
      <c r="B30" s="8" t="inlineStr">
        <is>
          <t>different sentences</t>
        </is>
      </c>
      <c r="C30" s="8" t="inlineStr">
        <is>
          <t>i said the answer out loud in the class even though i was not sure. it was right. i walked out feeling taller than usual, i should do this more. The class moved on to the next question and i wrote it down in my notebook.</t>
        </is>
      </c>
      <c r="D30" s="8" t="inlineStr">
        <is>
          <t>i walked out feeling taller than usual</t>
        </is>
      </c>
      <c r="E30" s="8" t="inlineStr">
        <is>
          <t>pride</t>
        </is>
      </c>
      <c r="F30" s="8" t="inlineStr">
        <is>
          <t>i said the answer out loud in the class even though i was not sure</t>
        </is>
      </c>
      <c r="G30" s="8" t="inlineStr">
        <is>
          <t>(no overlapping prediction)</t>
        </is>
      </c>
      <c r="H30" s="10" t="inlineStr">
        <is>
          <t>model error</t>
        </is>
      </c>
      <c r="I30" s="10" t="inlineStr">
        <is>
          <t>Clear pride clause; model found nothing</t>
        </is>
      </c>
      <c r="J30" s="11" t="n"/>
      <c r="K30" s="11" t="n"/>
    </row>
    <row r="31">
      <c r="A31" s="8" t="inlineStr">
        <is>
          <t>S142</t>
        </is>
      </c>
      <c r="B31" s="8" t="inlineStr">
        <is>
          <t>different sentences</t>
        </is>
      </c>
      <c r="C31" s="8" t="inlineStr">
        <is>
          <t>my father's pension got delayed again this month. mummy said not to worry but i could hear it in her voice. i keep calculating how long we can manage like this.</t>
        </is>
      </c>
      <c r="D31" s="8" t="inlineStr">
        <is>
          <t>i keep calculating how long we can manage like this</t>
        </is>
      </c>
      <c r="E31" s="8" t="inlineStr">
        <is>
          <t>stress</t>
        </is>
      </c>
      <c r="F31" s="8" t="inlineStr">
        <is>
          <t>my father's pension got delayed again this month</t>
        </is>
      </c>
      <c r="G31" s="8" t="inlineStr">
        <is>
          <t>(no overlapping prediction)</t>
        </is>
      </c>
      <c r="H31" s="10" t="inlineStr">
        <is>
          <t>model error</t>
        </is>
      </c>
      <c r="I31" s="10" t="inlineStr">
        <is>
          <t>Stress shown through behaviour; model found nothing</t>
        </is>
      </c>
      <c r="J31" s="11" t="n"/>
      <c r="K31" s="11" t="n"/>
    </row>
    <row r="32">
      <c r="A32" s="8" t="inlineStr">
        <is>
          <t>S145</t>
        </is>
      </c>
      <c r="B32" s="8" t="inlineStr">
        <is>
          <t>different sentences</t>
        </is>
      </c>
      <c r="C32" s="8" t="inlineStr">
        <is>
          <t>the supervisor accepted my abstract for the student conference. i read the mail with my hands over my mouth. today is going to be a good day i just know it.</t>
        </is>
      </c>
      <c r="D32" s="8" t="inlineStr">
        <is>
          <t>today is going to be a good day i just know it</t>
        </is>
      </c>
      <c r="E32" s="8" t="inlineStr">
        <is>
          <t>joy</t>
        </is>
      </c>
      <c r="F32" s="8" t="inlineStr">
        <is>
          <t>the supervisor accepted my abstract for the student conference</t>
        </is>
      </c>
      <c r="G32" s="8" t="inlineStr">
        <is>
          <t>(no overlapping prediction)</t>
        </is>
      </c>
      <c r="H32" s="10" t="inlineStr">
        <is>
          <t>model error</t>
        </is>
      </c>
      <c r="I32" s="10" t="inlineStr">
        <is>
          <t>Joy clause; model found nothing</t>
        </is>
      </c>
      <c r="J32" s="11" t="n"/>
      <c r="K32" s="11" t="n"/>
    </row>
    <row r="33">
      <c r="A33" s="8" t="inlineStr">
        <is>
          <t>S146</t>
        </is>
      </c>
      <c r="B33" s="8" t="inlineStr">
        <is>
          <t>different sentences</t>
        </is>
      </c>
      <c r="C33" s="8" t="inlineStr">
        <is>
          <t>my grandfather fell in the bathroom last night and is at the hospital now. i am sitting in the bus with my bag and cannot stop shaking. the bus is so slow.</t>
        </is>
      </c>
      <c r="D33" s="8" t="inlineStr">
        <is>
          <t>cannot stop shaking</t>
        </is>
      </c>
      <c r="E33" s="8" t="inlineStr">
        <is>
          <t>fear</t>
        </is>
      </c>
      <c r="F33" s="8" t="inlineStr">
        <is>
          <t>my grandfather fell in the bathroom last night and is at the hospital now</t>
        </is>
      </c>
      <c r="G33" s="8" t="inlineStr">
        <is>
          <t>(no overlapping prediction)</t>
        </is>
      </c>
      <c r="H33" s="10" t="inlineStr">
        <is>
          <t>model error</t>
        </is>
      </c>
      <c r="I33" s="10" t="inlineStr">
        <is>
          <t>Fear shown physically; model found nothing</t>
        </is>
      </c>
      <c r="J33" s="11" t="n"/>
      <c r="K33" s="11" t="n"/>
    </row>
    <row r="34">
      <c r="A34" s="8" t="inlineStr">
        <is>
          <t>S147</t>
        </is>
      </c>
      <c r="B34" s="8" t="inlineStr">
        <is>
          <t>different sentences</t>
        </is>
      </c>
      <c r="C34" s="8" t="inlineStr">
        <is>
          <t>the cab driver cancelled three times and then asked for extra to come. i missed the 5 pm train because of that. i was shouting on the phone like a madman and i hate it.</t>
        </is>
      </c>
      <c r="D34" s="8" t="inlineStr">
        <is>
          <t>i was shouting on the phone like a madman</t>
        </is>
      </c>
      <c r="E34" s="8" t="inlineStr">
        <is>
          <t>anger</t>
        </is>
      </c>
      <c r="F34" s="8" t="inlineStr">
        <is>
          <t>the cab driver cancelled three times and then asked for extra to come</t>
        </is>
      </c>
      <c r="G34" s="8" t="inlineStr">
        <is>
          <t>(no overlapping prediction)</t>
        </is>
      </c>
      <c r="H34" s="10" t="inlineStr">
        <is>
          <t>model error</t>
        </is>
      </c>
      <c r="I34" s="10" t="inlineStr">
        <is>
          <t>Anger shown through behaviour; model found nothing</t>
        </is>
      </c>
      <c r="J34" s="11" t="n"/>
      <c r="K34" s="11" t="n"/>
    </row>
    <row r="35">
      <c r="A35" s="8" t="inlineStr">
        <is>
          <t>S157</t>
        </is>
      </c>
      <c r="B35" s="8" t="inlineStr">
        <is>
          <t>implicit cause</t>
        </is>
      </c>
      <c r="C35" s="8" t="inlineStr">
        <is>
          <t>weirdly guilty tonight and i cant pin it down. like i owe somebody a call. I closed the laptop and opened it again. Then I put the phone in another room.</t>
        </is>
      </c>
      <c r="D35" s="8" t="inlineStr">
        <is>
          <t>weirdly guilty tonight</t>
        </is>
      </c>
      <c r="E35" s="8" t="inlineStr">
        <is>
          <t>guilt</t>
        </is>
      </c>
      <c r="F35" s="8" t="inlineStr">
        <is>
          <t>(implicit)</t>
        </is>
      </c>
      <c r="G35" s="8" t="inlineStr">
        <is>
          <t>weirdly guilty tonight and i cant pin it down [guilt]</t>
        </is>
      </c>
      <c r="H35" s="10" t="inlineStr">
        <is>
          <t>model error</t>
        </is>
      </c>
      <c r="I35" s="10" t="inlineStr">
        <is>
          <t>Model's span ran on</t>
        </is>
      </c>
      <c r="J35" s="11" t="n"/>
      <c r="K35" s="11" t="n"/>
    </row>
    <row r="36">
      <c r="A36" s="8" t="inlineStr">
        <is>
          <t>S162</t>
        </is>
      </c>
      <c r="B36" s="8" t="inlineStr">
        <is>
          <t>implicit cause</t>
        </is>
      </c>
      <c r="C36" s="8" t="inlineStr">
        <is>
          <t>my eyes got wet on the bus for no reason, i was not even thinking about anything.</t>
        </is>
      </c>
      <c r="D36" s="8" t="inlineStr">
        <is>
          <t>my eyes got wet on the bus for no reason</t>
        </is>
      </c>
      <c r="E36" s="8" t="inlineStr">
        <is>
          <t>sadness</t>
        </is>
      </c>
      <c r="F36" s="8" t="inlineStr">
        <is>
          <t>(implicit)</t>
        </is>
      </c>
      <c r="G36" s="8" t="inlineStr">
        <is>
          <t>(no overlapping prediction)</t>
        </is>
      </c>
      <c r="H36" s="10" t="inlineStr">
        <is>
          <t>model error</t>
        </is>
      </c>
      <c r="I36" s="10" t="inlineStr">
        <is>
          <t>Implicit sadness; model found nothing</t>
        </is>
      </c>
      <c r="J36" s="11" t="n"/>
      <c r="K36" s="11" t="n"/>
    </row>
    <row r="37">
      <c r="A37" s="8" t="inlineStr">
        <is>
          <t>S163</t>
        </is>
      </c>
      <c r="B37" s="8" t="inlineStr">
        <is>
          <t>implicit cause</t>
        </is>
      </c>
      <c r="C37" s="8" t="inlineStr">
        <is>
          <t>woke up and everything felt too bright and too fast. i just wanted the day to slow down.</t>
        </is>
      </c>
      <c r="D37" s="8" t="inlineStr">
        <is>
          <t>everything felt too bright and too fast</t>
        </is>
      </c>
      <c r="E37" s="8" t="inlineStr">
        <is>
          <t>stress</t>
        </is>
      </c>
      <c r="F37" s="8" t="inlineStr">
        <is>
          <t>(implicit)</t>
        </is>
      </c>
      <c r="G37" s="8" t="inlineStr">
        <is>
          <t>(no overlapping prediction)</t>
        </is>
      </c>
      <c r="H37" s="10" t="inlineStr">
        <is>
          <t>model error</t>
        </is>
      </c>
      <c r="I37" s="10" t="inlineStr">
        <is>
          <t>Implicit stress; model found nothing</t>
        </is>
      </c>
      <c r="J37" s="11" t="n"/>
      <c r="K37" s="11" t="n"/>
    </row>
    <row r="38">
      <c r="A38" s="8" t="inlineStr">
        <is>
          <t>S165</t>
        </is>
      </c>
      <c r="B38" s="8" t="inlineStr">
        <is>
          <t>two emotions, two causes</t>
        </is>
      </c>
      <c r="C38" s="8" t="inlineStr">
        <is>
          <t>he finally introduced me to his parents on a video call and they were so sweet to me. i was glowing the whole evening. but then he said he is not ready to talk about the future and i just went quiet. i did not say anything for the rest of the call.</t>
        </is>
      </c>
      <c r="D38" s="8" t="inlineStr">
        <is>
          <t>i just went quiet</t>
        </is>
      </c>
      <c r="E38" s="8" t="inlineStr">
        <is>
          <t>sadness</t>
        </is>
      </c>
      <c r="F38" s="8" t="inlineStr">
        <is>
          <t>he said he is not ready to talk about the future</t>
        </is>
      </c>
      <c r="G38" s="8" t="inlineStr">
        <is>
          <t>(no overlapping prediction)</t>
        </is>
      </c>
      <c r="H38" s="10" t="inlineStr">
        <is>
          <t>model error</t>
        </is>
      </c>
      <c r="I38" s="10" t="inlineStr">
        <is>
          <t>Withdrawal as sadness; model found nothing (behavioural, so borderline)</t>
        </is>
      </c>
      <c r="J38" s="11" t="n"/>
      <c r="K38" s="11" t="n"/>
    </row>
    <row r="39">
      <c r="A39" s="8" t="inlineStr">
        <is>
          <t>S167</t>
        </is>
      </c>
      <c r="B39" s="8" t="inlineStr">
        <is>
          <t>two emotions, two causes</t>
        </is>
      </c>
      <c r="C39" s="8" t="inlineStr">
        <is>
          <t>my roommate and i cooked dal khichdi at midnight and laughed so much that the warden knocked, i was so happy. in the morning my mom called and said my cousin is getting married and i must come home for ten days. i got annoyed immediately, i have two submissions.</t>
        </is>
      </c>
      <c r="D39" s="8" t="inlineStr">
        <is>
          <t>i got annoyed immediately</t>
        </is>
      </c>
      <c r="E39" s="8" t="inlineStr">
        <is>
          <t>anger</t>
        </is>
      </c>
      <c r="F39" s="8" t="inlineStr">
        <is>
          <t>my mom called and said my cousin is getting married and i must come home for ten days</t>
        </is>
      </c>
      <c r="G39" s="8" t="inlineStr">
        <is>
          <t>(no overlapping prediction)</t>
        </is>
      </c>
      <c r="H39" s="10" t="inlineStr">
        <is>
          <t>model error</t>
        </is>
      </c>
      <c r="I39" s="10" t="inlineStr">
        <is>
          <t>Clear anger clause; model found nothing</t>
        </is>
      </c>
      <c r="J39" s="11" t="n"/>
      <c r="K39" s="11" t="n"/>
    </row>
    <row r="40">
      <c r="A40" s="8" t="inlineStr">
        <is>
          <t>S170</t>
        </is>
      </c>
      <c r="B40" s="8" t="inlineStr">
        <is>
          <t>two emotions, two causes</t>
        </is>
      </c>
      <c r="C40" s="8" t="inlineStr">
        <is>
          <t>the doctor said my sugar levels are borderline and i need to watch my diet. i went home and stared at the wall for a while, really scared. but then my sister sent a message that she will do the meal planning with me every sunday, which made me feel so supported and grateful.</t>
        </is>
      </c>
      <c r="D40" s="8" t="inlineStr">
        <is>
          <t>really scared</t>
        </is>
      </c>
      <c r="E40" s="8" t="inlineStr">
        <is>
          <t>fear</t>
        </is>
      </c>
      <c r="F40" s="8" t="inlineStr">
        <is>
          <t>the doctor said my sugar levels are borderline and i need to watch my diet</t>
        </is>
      </c>
      <c r="G40" s="8" t="inlineStr">
        <is>
          <t>(no overlapping prediction)</t>
        </is>
      </c>
      <c r="H40" s="10" t="inlineStr">
        <is>
          <t>model error</t>
        </is>
      </c>
      <c r="I40" s="10" t="inlineStr">
        <is>
          <t>Clear fear clause; model found nothing</t>
        </is>
      </c>
      <c r="J40" s="11" t="n"/>
      <c r="K40" s="11" t="n"/>
    </row>
    <row r="41">
      <c r="A41" s="8" t="inlineStr">
        <is>
          <t>S171</t>
        </is>
      </c>
      <c r="B41" s="8" t="inlineStr">
        <is>
          <t>two emotions, two causes</t>
        </is>
      </c>
      <c r="C41" s="8" t="inlineStr">
        <is>
          <t>found out that my ex is getting engaged from an instagram story. i felt a lump in my throat for like ten minutes. then i went for the gym session and the trainer said my form has improved a lot, i felt proud of myself.</t>
        </is>
      </c>
      <c r="D41" s="8" t="inlineStr">
        <is>
          <t>i felt a lump in my throat for like ten minutes</t>
        </is>
      </c>
      <c r="E41" s="8" t="inlineStr">
        <is>
          <t>sadness</t>
        </is>
      </c>
      <c r="F41" s="8" t="inlineStr">
        <is>
          <t>found out that my ex is getting engaged from an instagram story</t>
        </is>
      </c>
      <c r="G41" s="8" t="inlineStr">
        <is>
          <t>felt a lump [sadness]</t>
        </is>
      </c>
      <c r="H41" s="10" t="inlineStr">
        <is>
          <t>model error</t>
        </is>
      </c>
      <c r="I41" s="10" t="inlineStr">
        <is>
          <t>Model kept a fragment</t>
        </is>
      </c>
      <c r="J41" s="11" t="n"/>
      <c r="K41" s="11" t="n"/>
    </row>
    <row r="42">
      <c r="A42" s="8" t="inlineStr">
        <is>
          <t>S172</t>
        </is>
      </c>
      <c r="B42" s="8" t="inlineStr">
        <is>
          <t>two emotions, two causes</t>
        </is>
      </c>
      <c r="C42" s="8" t="inlineStr">
        <is>
          <t>the rent got increased by 3000 and my flatmates wanted to split it equally even though i have the smallest room. i was so angry i kept quiet. later the owner called and said he will reduce it by 1000 for me, i was surprised and a little grateful.</t>
        </is>
      </c>
      <c r="D42" s="8" t="inlineStr">
        <is>
          <t>i was surprised and a little grateful</t>
        </is>
      </c>
      <c r="E42" s="8" t="inlineStr">
        <is>
          <t>surprise</t>
        </is>
      </c>
      <c r="F42" s="8" t="inlineStr">
        <is>
          <t>the owner called and said he will reduce it by 1000 for me</t>
        </is>
      </c>
      <c r="G42" s="8" t="inlineStr">
        <is>
          <t>a little grateful [gratitude]</t>
        </is>
      </c>
      <c r="H42" s="10" t="inlineStr">
        <is>
          <t>gold boundary off</t>
        </is>
      </c>
      <c r="I42" s="10" t="inlineStr">
        <is>
          <t>Gold merges surprise and gratitude into one span</t>
        </is>
      </c>
      <c r="J42" s="11" t="n"/>
      <c r="K42" s="11" t="n"/>
    </row>
    <row r="43">
      <c r="A43" s="8" t="inlineStr">
        <is>
          <t>S175</t>
        </is>
      </c>
      <c r="B43" s="8" t="inlineStr">
        <is>
          <t>two emotions, two causes</t>
        </is>
      </c>
      <c r="C43" s="8" t="inlineStr">
        <is>
          <t>my phone rang at 2 am and it was an unknown number, my heart stopped. it turned out to be my cousin calling from abroad to say he reached safely. i was a little annoyed that he did not check the time.</t>
        </is>
      </c>
      <c r="D43" s="8" t="inlineStr">
        <is>
          <t>i was a little annoyed</t>
        </is>
      </c>
      <c r="E43" s="8" t="inlineStr">
        <is>
          <t>anger</t>
        </is>
      </c>
      <c r="F43" s="8" t="inlineStr">
        <is>
          <t>he did not check the time</t>
        </is>
      </c>
      <c r="G43" s="8" t="inlineStr">
        <is>
          <t>i was a little annoyed that he did not check the time [anger]</t>
        </is>
      </c>
      <c r="H43" s="10" t="inlineStr">
        <is>
          <t>model error</t>
        </is>
      </c>
      <c r="I43" s="10" t="inlineStr">
        <is>
          <t>Model's span ran into the cause</t>
        </is>
      </c>
      <c r="J43" s="11" t="n"/>
      <c r="K43" s="11" t="n"/>
    </row>
    <row r="44">
      <c r="A44" s="8" t="inlineStr">
        <is>
          <t>S183</t>
        </is>
      </c>
      <c r="B44" s="8" t="inlineStr">
        <is>
          <t>two emotions, two causes</t>
        </is>
      </c>
      <c r="C44" s="8" t="inlineStr">
        <is>
          <t>dadu told me the same story about the 1971 war for the tenth time today and i smiled through it. honestly it felt so comforting. but when he started coughing badly i got very scared and ran to call mummy.</t>
        </is>
      </c>
      <c r="D44" s="8" t="inlineStr">
        <is>
          <t>i got very scared</t>
        </is>
      </c>
      <c r="E44" s="8" t="inlineStr">
        <is>
          <t>fear</t>
        </is>
      </c>
      <c r="F44" s="8" t="inlineStr">
        <is>
          <t>he started coughing badly</t>
        </is>
      </c>
      <c r="G44" s="8" t="inlineStr">
        <is>
          <t>(no overlapping prediction)</t>
        </is>
      </c>
      <c r="H44" s="10" t="inlineStr">
        <is>
          <t>model error</t>
        </is>
      </c>
      <c r="I44" s="10" t="inlineStr">
        <is>
          <t>Clear fear clause; model found nothing</t>
        </is>
      </c>
      <c r="J44" s="11" t="n"/>
      <c r="K44" s="11" t="n"/>
    </row>
    <row r="45">
      <c r="A45" s="8" t="inlineStr">
        <is>
          <t>S187</t>
        </is>
      </c>
      <c r="B45" s="8" t="inlineStr">
        <is>
          <t>one cause, two emotions</t>
        </is>
      </c>
      <c r="C45" s="8" t="inlineStr">
        <is>
          <t>she sent me a long voice note saying she misses me. i smiled like a fool and also felt a pang of guilt that i have been too busy to reply. I typed a long reply and deleted it twice, then sent a short one. Put the phone on the table and drank some water.</t>
        </is>
      </c>
      <c r="D45" s="8" t="inlineStr">
        <is>
          <t>felt a pang of guilt</t>
        </is>
      </c>
      <c r="E45" s="8" t="inlineStr">
        <is>
          <t>guilt</t>
        </is>
      </c>
      <c r="F45" s="8" t="inlineStr">
        <is>
          <t>she sent me a long voice note saying she misses me</t>
        </is>
      </c>
      <c r="G45" s="8" t="inlineStr">
        <is>
          <t>felt a pang of guilt that i have been too busy to reply [guilt]</t>
        </is>
      </c>
      <c r="H45" s="10" t="inlineStr">
        <is>
          <t>model error</t>
        </is>
      </c>
      <c r="I45" s="10" t="inlineStr">
        <is>
          <t>Model's span ran into the cause</t>
        </is>
      </c>
      <c r="J45" s="11" t="n"/>
      <c r="K45" s="11" t="n"/>
    </row>
    <row r="46">
      <c r="A46" s="8" t="inlineStr">
        <is>
          <t>S189</t>
        </is>
      </c>
      <c r="B46" s="8" t="inlineStr">
        <is>
          <t>one cause, two emotions</t>
        </is>
      </c>
      <c r="C46" s="8" t="inlineStr">
        <is>
          <t>the professor announced the project groups and i got paired with someone i have never spoken to. excited to meet someone new and nervous at the same time. i spent the break looking for his name on the class list.</t>
        </is>
      </c>
      <c r="D46" s="8" t="inlineStr">
        <is>
          <t>excited to meet someone new</t>
        </is>
      </c>
      <c r="E46" s="8" t="inlineStr">
        <is>
          <t>joy</t>
        </is>
      </c>
      <c r="F46" s="8" t="inlineStr">
        <is>
          <t>the professor announced the project groups and i got paired with someone i have never spoken to</t>
        </is>
      </c>
      <c r="G46" s="8" t="inlineStr">
        <is>
          <t>excited to [joy]</t>
        </is>
      </c>
      <c r="H46" s="10" t="inlineStr">
        <is>
          <t>gold boundary off</t>
        </is>
      </c>
      <c r="I46" s="10" t="inlineStr">
        <is>
          <t>Gold includes the cause ('meet someone new')</t>
        </is>
      </c>
      <c r="J46" s="11" t="n"/>
      <c r="K46" s="11" t="n"/>
    </row>
    <row r="47">
      <c r="A47" s="8" t="inlineStr">
        <is>
          <t>S189</t>
        </is>
      </c>
      <c r="B47" s="8" t="inlineStr">
        <is>
          <t>one cause, two emotions</t>
        </is>
      </c>
      <c r="C47" s="8" t="inlineStr">
        <is>
          <t>the professor announced the project groups and i got paired with someone i have never spoken to. excited to meet someone new and nervous at the same time. i spent the break looking for his name on the class list.</t>
        </is>
      </c>
      <c r="D47" s="8" t="inlineStr">
        <is>
          <t>nervous at the same time</t>
        </is>
      </c>
      <c r="E47" s="8" t="inlineStr">
        <is>
          <t>fear</t>
        </is>
      </c>
      <c r="F47" s="8" t="inlineStr">
        <is>
          <t>the professor announced the project groups and i got paired with someone i have never spoken to</t>
        </is>
      </c>
      <c r="G47" s="8" t="inlineStr">
        <is>
          <t>and nervous [surprise]</t>
        </is>
      </c>
      <c r="H47" s="10" t="inlineStr">
        <is>
          <t>model error</t>
        </is>
      </c>
      <c r="I47" s="10" t="inlineStr">
        <is>
          <t>Model kept a fragment and called it surprise</t>
        </is>
      </c>
      <c r="J47" s="11" t="n"/>
      <c r="K47" s="11" t="n"/>
    </row>
    <row r="48">
      <c r="A48" s="8" t="inlineStr">
        <is>
          <t>S204</t>
        </is>
      </c>
      <c r="B48" s="8" t="inlineStr">
        <is>
          <t>cause before emotion</t>
        </is>
      </c>
      <c r="C48" s="8" t="inlineStr">
        <is>
          <t>walked into the common room and the whole floor had put up balloons and a banner for my birthday. i had told nobody. completely stunned, i just stood there with my bag still on my shoulder. There were streamers on the door of every room and someone had stuck my old photo on the notice board with a funny caption. A cake was waiting on the table in the corridor with my name spelled wrong in icing. We cut it anyway and everyone took turns feeding each other pieces. The music went on till the late round and then we whispered the rest of the night.</t>
        </is>
      </c>
      <c r="D48" s="8" t="inlineStr">
        <is>
          <t>completely stunned</t>
        </is>
      </c>
      <c r="E48" s="8" t="inlineStr">
        <is>
          <t>surprise</t>
        </is>
      </c>
      <c r="F48" s="8" t="inlineStr">
        <is>
          <t>walked into the common room and the whole floor had put up balloons and a banner for my birthday</t>
        </is>
      </c>
      <c r="G48" s="8" t="inlineStr">
        <is>
          <t>(no overlapping prediction)</t>
        </is>
      </c>
      <c r="H48" s="10" t="inlineStr">
        <is>
          <t>model error</t>
        </is>
      </c>
      <c r="I48" s="10" t="inlineStr">
        <is>
          <t>Clear surprise clause; model found nothing</t>
        </is>
      </c>
      <c r="J48" s="11" t="n"/>
      <c r="K48" s="11" t="n"/>
    </row>
    <row r="49">
      <c r="A49" s="8" t="inlineStr">
        <is>
          <t>S208</t>
        </is>
      </c>
      <c r="B49" s="8" t="inlineStr">
        <is>
          <t>cause before emotion</t>
        </is>
      </c>
      <c r="C49" s="8" t="inlineStr">
        <is>
          <t>got a rash on my arms after the new detergent and it is spreading. really worried it might be something serious.</t>
        </is>
      </c>
      <c r="D49" s="8" t="inlineStr">
        <is>
          <t>really worried it might be something serious</t>
        </is>
      </c>
      <c r="E49" s="8" t="inlineStr">
        <is>
          <t>fear</t>
        </is>
      </c>
      <c r="F49" s="8" t="inlineStr">
        <is>
          <t>got a rash on my arms after the new detergent and it is spreading</t>
        </is>
      </c>
      <c r="G49" s="8" t="inlineStr">
        <is>
          <t>really worried [surprise]</t>
        </is>
      </c>
      <c r="H49" s="10" t="inlineStr">
        <is>
          <t>gold boundary off</t>
        </is>
      </c>
      <c r="I49" s="10" t="inlineStr">
        <is>
          <t>Gold includes the worry content ('it might be something serious')</t>
        </is>
      </c>
      <c r="J49" s="11" t="n"/>
      <c r="K49" s="11" t="n"/>
    </row>
    <row r="50">
      <c r="A50" s="8" t="inlineStr">
        <is>
          <t>S217</t>
        </is>
      </c>
      <c r="B50" s="8" t="inlineStr">
        <is>
          <t>cause before emotion</t>
        </is>
      </c>
      <c r="C50" s="8" t="inlineStr">
        <is>
          <t>had a long hot shower and then read in bed with the lamp on. feeling snug and quiet, no complaints.</t>
        </is>
      </c>
      <c r="D50" s="8" t="inlineStr">
        <is>
          <t>feeling snug and quiet</t>
        </is>
      </c>
      <c r="E50" s="8" t="inlineStr">
        <is>
          <t>contentment</t>
        </is>
      </c>
      <c r="F50" s="8" t="inlineStr">
        <is>
          <t>had a long hot shower and then read in bed with the lamp on</t>
        </is>
      </c>
      <c r="G50" s="8" t="inlineStr">
        <is>
          <t>(no overlapping prediction)</t>
        </is>
      </c>
      <c r="H50" s="10" t="inlineStr">
        <is>
          <t>model error</t>
        </is>
      </c>
      <c r="I50" s="10" t="inlineStr">
        <is>
          <t>Clear contentment clause; model found nothing</t>
        </is>
      </c>
      <c r="J50" s="11" t="n"/>
      <c r="K50" s="11" t="n"/>
    </row>
    <row r="51">
      <c r="A51" s="8" t="inlineStr">
        <is>
          <t>S218</t>
        </is>
      </c>
      <c r="B51" s="8" t="inlineStr">
        <is>
          <t>cause before emotion</t>
        </is>
      </c>
      <c r="C51" s="8" t="inlineStr">
        <is>
          <t>Ankit told me he would call at nine and then did not call at all. I waited with my phone in my hand like a fool, rehearsing what to say about his exam. At eleven he sent one line saying he fell asleep. I was not even angry about the sleeping, it was the way he did not think of messaging earlier. I typed a long reply and deleted it three times. I am so angry and tired of explaining the same thing again and again.</t>
        </is>
      </c>
      <c r="D51" s="8" t="inlineStr">
        <is>
          <t>I am so angry and tired of explaining the same thing again and again</t>
        </is>
      </c>
      <c r="E51" s="8" t="inlineStr">
        <is>
          <t>anger</t>
        </is>
      </c>
      <c r="F51" s="8" t="inlineStr">
        <is>
          <t>Ankit told me he would call at nine and then did not call at all</t>
        </is>
      </c>
      <c r="G51" s="8" t="inlineStr">
        <is>
          <t>so angry [anger]</t>
        </is>
      </c>
      <c r="H51" s="10" t="inlineStr">
        <is>
          <t>model error</t>
        </is>
      </c>
      <c r="I51" s="10" t="inlineStr">
        <is>
          <t>Model kept only 'so angry'</t>
        </is>
      </c>
      <c r="J51" s="11" t="n"/>
      <c r="K51" s="11" t="n"/>
    </row>
    <row r="52">
      <c r="A52" s="8" t="inlineStr">
        <is>
          <t>S221</t>
        </is>
      </c>
      <c r="B52" s="8" t="inlineStr">
        <is>
          <t>cause before emotion</t>
        </is>
      </c>
      <c r="C52" s="8" t="inlineStr">
        <is>
          <t>Neha stayed on call with me till 2 am while i fixed my resume. grateful for people like her, honestly.</t>
        </is>
      </c>
      <c r="D52" s="8" t="inlineStr">
        <is>
          <t>grateful for people like her</t>
        </is>
      </c>
      <c r="E52" s="8" t="inlineStr">
        <is>
          <t>gratitude</t>
        </is>
      </c>
      <c r="F52" s="8" t="inlineStr">
        <is>
          <t>Neha stayed on call with me till 2 am while i fixed my resume</t>
        </is>
      </c>
      <c r="G52" s="8" t="inlineStr">
        <is>
          <t>grateful for [joy]</t>
        </is>
      </c>
      <c r="H52" s="10" t="inlineStr">
        <is>
          <t>model error</t>
        </is>
      </c>
      <c r="I52" s="10" t="inlineStr">
        <is>
          <t>Model kept a fragment and called it joy</t>
        </is>
      </c>
      <c r="J52" s="11" t="n"/>
      <c r="K52" s="11" t="n"/>
    </row>
    <row r="53">
      <c r="A53" s="8" t="inlineStr">
        <is>
          <t>S222</t>
        </is>
      </c>
      <c r="B53" s="8" t="inlineStr">
        <is>
          <t>cause before emotion</t>
        </is>
      </c>
      <c r="C53" s="8" t="inlineStr">
        <is>
          <t>I gave my first ever talk at the Kolkata book club about the novel i read last year. 15 people came and two even asked questions. proud of myself for not skipping it like i usually do.</t>
        </is>
      </c>
      <c r="D53" s="8" t="inlineStr">
        <is>
          <t>proud of myself for not skipping it like i usually do</t>
        </is>
      </c>
      <c r="E53" s="8" t="inlineStr">
        <is>
          <t>pride</t>
        </is>
      </c>
      <c r="F53" s="8" t="inlineStr">
        <is>
          <t>I gave my first ever talk at the Kolkata book club about the novel i read last year</t>
        </is>
      </c>
      <c r="G53" s="8" t="inlineStr">
        <is>
          <t>proud of myself for [pride]</t>
        </is>
      </c>
      <c r="H53" s="10" t="inlineStr">
        <is>
          <t>gold boundary off</t>
        </is>
      </c>
      <c r="I53" s="10" t="inlineStr">
        <is>
          <t>Gold includes the cause ('for not skipping it like i usually do')</t>
        </is>
      </c>
      <c r="J53" s="11" t="n"/>
      <c r="K53" s="11" t="n"/>
    </row>
    <row r="54">
      <c r="A54" s="8" t="inlineStr">
        <is>
          <t>S234</t>
        </is>
      </c>
      <c r="B54" s="8" t="inlineStr">
        <is>
          <t>cause before emotion</t>
        </is>
      </c>
      <c r="C54" s="8" t="inlineStr">
        <is>
          <t>The monsoon started in Mumbai today and i got completely drenched on the way back from the station. I did not even open my umbrella. I laughed out loud on the street, so happy. The first drops fell around five and by the time i reached the road the whole street was a river. A bus splashed water over my bag and my shoes were completely wet. People were standing under the shop shutters looking at the sky. I walked slowly through the puddles and the smell of wet mud was everywhere.</t>
        </is>
      </c>
      <c r="D54" s="8" t="inlineStr">
        <is>
          <t>I laughed out loud on the street, so happy</t>
        </is>
      </c>
      <c r="E54" s="8" t="inlineStr">
        <is>
          <t>joy</t>
        </is>
      </c>
      <c r="F54" s="8" t="inlineStr">
        <is>
          <t>The monsoon started in Mumbai today and i got completely drenched on the way back from the station</t>
        </is>
      </c>
      <c r="G54" s="8" t="inlineStr">
        <is>
          <t>so happy [joy]</t>
        </is>
      </c>
      <c r="H54" s="10" t="inlineStr">
        <is>
          <t>model error</t>
        </is>
      </c>
      <c r="I54" s="10" t="inlineStr">
        <is>
          <t>Model kept only 'so happy'</t>
        </is>
      </c>
      <c r="J54" s="11" t="n"/>
      <c r="K54" s="11" t="n"/>
    </row>
    <row r="55">
      <c r="A55" s="8" t="inlineStr">
        <is>
          <t>S235</t>
        </is>
      </c>
      <c r="B55" s="8" t="inlineStr">
        <is>
          <t>cause before emotion</t>
        </is>
      </c>
      <c r="C55" s="8" t="inlineStr">
        <is>
          <t>got selected as the department rep for the national symposium. proud, it is the first time someone from my batch is going.</t>
        </is>
      </c>
      <c r="D55" s="8" t="inlineStr">
        <is>
          <t>proud</t>
        </is>
      </c>
      <c r="E55" s="8" t="inlineStr">
        <is>
          <t>pride</t>
        </is>
      </c>
      <c r="F55" s="8" t="inlineStr">
        <is>
          <t>got selected as the department rep for the national symposium</t>
        </is>
      </c>
      <c r="G55" s="8" t="inlineStr">
        <is>
          <t>(no overlapping prediction)</t>
        </is>
      </c>
      <c r="H55" s="10" t="inlineStr">
        <is>
          <t>model error</t>
        </is>
      </c>
      <c r="I55" s="10" t="inlineStr">
        <is>
          <t>One-word pride clause; model found nothing</t>
        </is>
      </c>
      <c r="J55" s="11" t="n"/>
      <c r="K55" s="11" t="n"/>
    </row>
    <row r="56">
      <c r="A56" s="8" t="inlineStr">
        <is>
          <t>S237</t>
        </is>
      </c>
      <c r="B56" s="8" t="inlineStr">
        <is>
          <t>cause before emotion</t>
        </is>
      </c>
      <c r="C56" s="8" t="inlineStr">
        <is>
          <t>I opened the planner and saw the list of things i had not done for the whole week. Three assignments, the gym, the call i keep postponing. I felt the usual knot in my chest and closed the planner again. so stressed and not even doing anything about it. The assignments were due on three different subjects and the gym slot was still empty from the week before. I stared at the page for a minute and then looked at the ceiling. After that i moved the sticky notes from the left side of the page to the right and left the rest as it was.</t>
        </is>
      </c>
      <c r="D56" s="8" t="inlineStr">
        <is>
          <t>so stressed and not even doing anything about it</t>
        </is>
      </c>
      <c r="E56" s="8" t="inlineStr">
        <is>
          <t>stress</t>
        </is>
      </c>
      <c r="F56" s="8" t="inlineStr">
        <is>
          <t>I opened the planner and saw the list of things i had not done for the whole week</t>
        </is>
      </c>
      <c r="G56" s="8" t="inlineStr">
        <is>
          <t>so stressed [stress]</t>
        </is>
      </c>
      <c r="H56" s="10" t="inlineStr">
        <is>
          <t>gold boundary off</t>
        </is>
      </c>
      <c r="I56" s="10" t="inlineStr">
        <is>
          <t>Gold includes 'and not even doing anything about it'</t>
        </is>
      </c>
      <c r="J56" s="11" t="n"/>
      <c r="K56" s="11" t="n"/>
    </row>
    <row r="57">
      <c r="A57" s="8" t="inlineStr">
        <is>
          <t>S240</t>
        </is>
      </c>
      <c r="B57" s="8" t="inlineStr">
        <is>
          <t>cause before emotion</t>
        </is>
      </c>
      <c r="C57" s="8" t="inlineStr">
        <is>
          <t>the diet chart i got from the gym was totally wrong for me and i followed it for a week. so irritated that i trusted it blindly.</t>
        </is>
      </c>
      <c r="D57" s="8" t="inlineStr">
        <is>
          <t>so irritated that i trusted it blindly</t>
        </is>
      </c>
      <c r="E57" s="8" t="inlineStr">
        <is>
          <t>anger</t>
        </is>
      </c>
      <c r="F57" s="8" t="inlineStr">
        <is>
          <t>the diet chart i got from the gym was totally wrong for me and i followed it for a week</t>
        </is>
      </c>
      <c r="G57" s="8" t="inlineStr">
        <is>
          <t>so irritated that [anger]</t>
        </is>
      </c>
      <c r="H57" s="10" t="inlineStr">
        <is>
          <t>gold boundary off</t>
        </is>
      </c>
      <c r="I57" s="10" t="inlineStr">
        <is>
          <t>Gold includes the cause ('that i trusted it blindly')</t>
        </is>
      </c>
      <c r="J57" s="11" t="n"/>
      <c r="K57" s="11" t="n"/>
    </row>
    <row r="58">
      <c r="A58" s="8" t="inlineStr">
        <is>
          <t>S243</t>
        </is>
      </c>
      <c r="B58" s="8" t="inlineStr">
        <is>
          <t>cause after emotion</t>
        </is>
      </c>
      <c r="C58" s="8" t="inlineStr">
        <is>
          <t>I am nervous about the blood test tomorrow since last time they could not find my vein and poked me four times. They took three tries last time and my arm was bruised for a week. I have been drinking extra water since morning.</t>
        </is>
      </c>
      <c r="D58" s="8" t="inlineStr">
        <is>
          <t>I am nervous about the blood test tomorrow</t>
        </is>
      </c>
      <c r="E58" s="8" t="inlineStr">
        <is>
          <t>fear</t>
        </is>
      </c>
      <c r="F58" s="8" t="inlineStr">
        <is>
          <t>last time they could not find my vein and poked me four times</t>
        </is>
      </c>
      <c r="G58" s="8" t="inlineStr">
        <is>
          <t>am nervous [fear]</t>
        </is>
      </c>
      <c r="H58" s="10" t="inlineStr">
        <is>
          <t>gold boundary off</t>
        </is>
      </c>
      <c r="I58" s="10" t="inlineStr">
        <is>
          <t>Gold includes the cause object ('about the blood test tomorrow')</t>
        </is>
      </c>
      <c r="J58" s="11" t="n"/>
      <c r="K58" s="11" t="n"/>
    </row>
    <row r="59">
      <c r="A59" s="8" t="inlineStr">
        <is>
          <t>S251</t>
        </is>
      </c>
      <c r="B59" s="8" t="inlineStr">
        <is>
          <t>cause after emotion</t>
        </is>
      </c>
      <c r="C59" s="8" t="inlineStr">
        <is>
          <t>so lonely in this new city since everyone from my batch got posted to other places. I spent the evening sitting by the window with a cup of tea. The messages kept coming but i left them unread.</t>
        </is>
      </c>
      <c r="D59" s="8" t="inlineStr">
        <is>
          <t>so lonely in this new city</t>
        </is>
      </c>
      <c r="E59" s="8" t="inlineStr">
        <is>
          <t>sadness</t>
        </is>
      </c>
      <c r="F59" s="8" t="inlineStr">
        <is>
          <t>everyone from my batch got posted to other places</t>
        </is>
      </c>
      <c r="G59" s="8" t="inlineStr">
        <is>
          <t>so lonely [sadness]</t>
        </is>
      </c>
      <c r="H59" s="10" t="inlineStr">
        <is>
          <t>gold boundary off</t>
        </is>
      </c>
      <c r="I59" s="10" t="inlineStr">
        <is>
          <t>Gold includes context ('in this new city')</t>
        </is>
      </c>
      <c r="J59" s="11" t="n"/>
      <c r="K59" s="11" t="n"/>
    </row>
    <row r="60">
      <c r="A60" s="8" t="inlineStr">
        <is>
          <t>S254</t>
        </is>
      </c>
      <c r="B60" s="8" t="inlineStr">
        <is>
          <t>cause after emotion</t>
        </is>
      </c>
      <c r="C60" s="8" t="inlineStr">
        <is>
          <t>pretty anxious about the audit tomorrow since half the files are still not uploaded. The cleaning took four hours and we divided the floors between us. Every room smelled of phenyl in the end.</t>
        </is>
      </c>
      <c r="D60" s="8" t="inlineStr">
        <is>
          <t>pretty anxious about the audit tomorrow</t>
        </is>
      </c>
      <c r="E60" s="8" t="inlineStr">
        <is>
          <t>fear</t>
        </is>
      </c>
      <c r="F60" s="8" t="inlineStr">
        <is>
          <t>half the files are still not uploaded</t>
        </is>
      </c>
      <c r="G60" s="8" t="inlineStr">
        <is>
          <t>pretty anxious [stress]</t>
        </is>
      </c>
      <c r="H60" s="10" t="inlineStr">
        <is>
          <t>gold boundary off</t>
        </is>
      </c>
      <c r="I60" s="10" t="inlineStr">
        <is>
          <t>Gold includes the cause object ('about the audit tomorrow')</t>
        </is>
      </c>
      <c r="J60" s="11" t="n"/>
      <c r="K60" s="11" t="n"/>
    </row>
    <row r="61">
      <c r="A61" s="8" t="inlineStr">
        <is>
          <t>S259</t>
        </is>
      </c>
      <c r="B61" s="8" t="inlineStr">
        <is>
          <t>different sentences</t>
        </is>
      </c>
      <c r="C61" s="8" t="inlineStr">
        <is>
          <t>I woke up with chest pain at 3 am and sat on the floor till it passed. It lasted maybe ten minutes. Googling made it so much worse and i read about everything from acid reflux to heart attacks. Even now my hands are slightly cold. scared to tell anyone because it might be nothing. I drank a glass of water, sat with my back against the bed and counted breaths until my heart slowed down. After that i lay on the floor with the lights off and listened to the ceiling fan. By sunrise the pain had not come back but i could not fall asleep again.</t>
        </is>
      </c>
      <c r="D61" s="8" t="inlineStr">
        <is>
          <t>scared to tell anyone</t>
        </is>
      </c>
      <c r="E61" s="8" t="inlineStr">
        <is>
          <t>fear</t>
        </is>
      </c>
      <c r="F61" s="8" t="inlineStr">
        <is>
          <t>I woke up with chest pain at 3 am and sat on the floor till it passed</t>
        </is>
      </c>
      <c r="G61" s="8" t="inlineStr">
        <is>
          <t>(no overlapping prediction)</t>
        </is>
      </c>
      <c r="H61" s="10" t="inlineStr">
        <is>
          <t>model error</t>
        </is>
      </c>
      <c r="I61" s="10" t="inlineStr">
        <is>
          <t>Clear fear clause; model found nothing</t>
        </is>
      </c>
      <c r="J61" s="11" t="n"/>
      <c r="K61" s="11" t="n"/>
    </row>
    <row r="62">
      <c r="A62" s="8" t="inlineStr">
        <is>
          <t>S266</t>
        </is>
      </c>
      <c r="B62" s="8" t="inlineStr">
        <is>
          <t>different sentences</t>
        </is>
      </c>
      <c r="C62" s="8" t="inlineStr">
        <is>
          <t>went for a routine eye check expecting new glasses. the report said my number has actually decreased since last time. I asked them to recheck and they did. It is rare apparently. what a surprise, i did not think it could go down. The machine blew a puff of air into my eye three times and the screen showed numbers i did not understand. The report was printed and explained in a simple way. I walked out and held the paper up against the sunlight for no reason.</t>
        </is>
      </c>
      <c r="D62" s="8" t="inlineStr">
        <is>
          <t>what a surprise</t>
        </is>
      </c>
      <c r="E62" s="8" t="inlineStr">
        <is>
          <t>surprise</t>
        </is>
      </c>
      <c r="F62" s="8" t="inlineStr">
        <is>
          <t>the report said my number has actually decreased since last time</t>
        </is>
      </c>
      <c r="G62" s="8" t="inlineStr">
        <is>
          <t>(no overlapping prediction)</t>
        </is>
      </c>
      <c r="H62" s="10" t="inlineStr">
        <is>
          <t>model error</t>
        </is>
      </c>
      <c r="I62" s="10" t="inlineStr">
        <is>
          <t>Clear surprise clause; model found nothing</t>
        </is>
      </c>
      <c r="J62" s="11" t="n"/>
      <c r="K62" s="11" t="n"/>
    </row>
    <row r="63">
      <c r="A63" s="8" t="inlineStr">
        <is>
          <t>S272</t>
        </is>
      </c>
      <c r="B63" s="8" t="inlineStr">
        <is>
          <t>different sentences</t>
        </is>
      </c>
      <c r="C63" s="8" t="inlineStr">
        <is>
          <t>Slept at 10 and woke up at 6 and went for a slow walk in the park with a flask of tea. The grass was wet and a couple of old men were doing laughing yoga. nothing felt rushed. i feel like my head has finally settled. I took a flask of tea, a book and an old shawl. I met a group of kids playing cricket near the gate and stopped to watch for a few minutes. When i reached home the kettle was still warm in my bag.</t>
        </is>
      </c>
      <c r="D63" s="8" t="inlineStr">
        <is>
          <t>i feel like my head has finally settled</t>
        </is>
      </c>
      <c r="E63" s="8" t="inlineStr">
        <is>
          <t>contentment</t>
        </is>
      </c>
      <c r="F63" s="8" t="inlineStr">
        <is>
          <t>Slept at 10 and woke up at 6 and went for a slow walk in the park with a flask of tea</t>
        </is>
      </c>
      <c r="G63" s="8" t="inlineStr">
        <is>
          <t>finally settled [contentment]</t>
        </is>
      </c>
      <c r="H63" s="10" t="inlineStr">
        <is>
          <t>model error</t>
        </is>
      </c>
      <c r="I63" s="10" t="inlineStr">
        <is>
          <t>Model kept a fragment</t>
        </is>
      </c>
      <c r="J63" s="11" t="n"/>
      <c r="K63" s="11" t="n"/>
    </row>
    <row r="64">
      <c r="A64" s="8" t="inlineStr">
        <is>
          <t>S274</t>
        </is>
      </c>
      <c r="B64" s="8" t="inlineStr">
        <is>
          <t>different sentences</t>
        </is>
      </c>
      <c r="C64" s="8" t="inlineStr">
        <is>
          <t>opened the door to find a huge cardboard box on the doorstep. I had not ordered anything. Inside was a plant, a small note and no name. i still do not know who sent it. completely stunned, i have asked the whole floor. It was wrapped in brown paper and tied with a jute string. The plant had thick green leaves and a tiny tag that said keep near the window. I placed it on the sill and watered it with half a glass.</t>
        </is>
      </c>
      <c r="D64" s="8" t="inlineStr">
        <is>
          <t>completely stunned</t>
        </is>
      </c>
      <c r="E64" s="8" t="inlineStr">
        <is>
          <t>surprise</t>
        </is>
      </c>
      <c r="F64" s="8" t="inlineStr">
        <is>
          <t>opened the door to find a huge cardboard box on the doorstep</t>
        </is>
      </c>
      <c r="G64" s="8" t="inlineStr">
        <is>
          <t>(no overlapping prediction)</t>
        </is>
      </c>
      <c r="H64" s="10" t="inlineStr">
        <is>
          <t>model error</t>
        </is>
      </c>
      <c r="I64" s="10" t="inlineStr">
        <is>
          <t>Clear surprise clause; model found nothing</t>
        </is>
      </c>
      <c r="J64" s="11" t="n"/>
      <c r="K64" s="11" t="n"/>
    </row>
    <row r="65">
      <c r="A65" s="8" t="inlineStr">
        <is>
          <t>S277</t>
        </is>
      </c>
      <c r="B65" s="8" t="inlineStr">
        <is>
          <t>different sentences</t>
        </is>
      </c>
      <c r="C65" s="8" t="inlineStr">
        <is>
          <t>Veer posted my private photo on the class group without asking. Everyone reacted and it was so embarrassing. He removed it after ten minutes but the damage was done. I messaged him to say that was not okay and he replied with a laughing emoji. i am so angry i cannot even look at the group. I typed three versions of the message and finally sent the shortest one. He replied with a laughing emoji and a thumbs up. I turned off the notifications for the group and left my phone on the shelf.</t>
        </is>
      </c>
      <c r="D65" s="8" t="inlineStr">
        <is>
          <t>i am so angry i cannot even look at the group</t>
        </is>
      </c>
      <c r="E65" s="8" t="inlineStr">
        <is>
          <t>anger</t>
        </is>
      </c>
      <c r="F65" s="8" t="inlineStr">
        <is>
          <t>Veer posted my private photo on the class group without asking</t>
        </is>
      </c>
      <c r="G65" s="8" t="inlineStr">
        <is>
          <t>am so angry [anger]</t>
        </is>
      </c>
      <c r="H65" s="10" t="inlineStr">
        <is>
          <t>model error</t>
        </is>
      </c>
      <c r="I65" s="10" t="inlineStr">
        <is>
          <t>Model cut the span short</t>
        </is>
      </c>
      <c r="J65" s="11" t="n"/>
      <c r="K65" s="11" t="n"/>
    </row>
    <row r="66">
      <c r="A66" s="8" t="inlineStr">
        <is>
          <t>S278</t>
        </is>
      </c>
      <c r="B66" s="8" t="inlineStr">
        <is>
          <t>implicit cause</t>
        </is>
      </c>
      <c r="C66" s="8" t="inlineStr">
        <is>
          <t>idk why but today feels grey. nothing bad happened. i just feel like talking to nobody. The fan was on the highest speed and the room was still stuffy. I put on a slow playlist and stared at the wall.</t>
        </is>
      </c>
      <c r="D66" s="8" t="inlineStr">
        <is>
          <t>i just feel like talking to nobody</t>
        </is>
      </c>
      <c r="E66" s="8" t="inlineStr">
        <is>
          <t>sadness</t>
        </is>
      </c>
      <c r="F66" s="8" t="inlineStr">
        <is>
          <t>(implicit)</t>
        </is>
      </c>
      <c r="G66" s="8" t="inlineStr">
        <is>
          <t>(no overlapping prediction)</t>
        </is>
      </c>
      <c r="H66" s="10" t="inlineStr">
        <is>
          <t>model error</t>
        </is>
      </c>
      <c r="I66" s="10" t="inlineStr">
        <is>
          <t>Implicit sadness; model found nothing</t>
        </is>
      </c>
      <c r="J66" s="11" t="n"/>
      <c r="K66" s="11" t="n"/>
    </row>
    <row r="67">
      <c r="A67" s="8" t="inlineStr">
        <is>
          <t>S280</t>
        </is>
      </c>
      <c r="B67" s="8" t="inlineStr">
        <is>
          <t>implicit cause</t>
        </is>
      </c>
      <c r="C67" s="8" t="inlineStr">
        <is>
          <t>something good is going to happen i can feel it. no logic, just a bright feeling since i woke up.</t>
        </is>
      </c>
      <c r="D67" s="8" t="inlineStr">
        <is>
          <t>a bright feeling since i woke up</t>
        </is>
      </c>
      <c r="E67" s="8" t="inlineStr">
        <is>
          <t>joy</t>
        </is>
      </c>
      <c r="F67" s="8" t="inlineStr">
        <is>
          <t>(implicit)</t>
        </is>
      </c>
      <c r="G67" s="8" t="inlineStr">
        <is>
          <t>(no overlapping prediction)</t>
        </is>
      </c>
      <c r="H67" s="10" t="inlineStr">
        <is>
          <t>model error</t>
        </is>
      </c>
      <c r="I67" s="10" t="inlineStr">
        <is>
          <t>Model found fragments only</t>
        </is>
      </c>
      <c r="J67" s="11" t="n"/>
      <c r="K67" s="11" t="n"/>
    </row>
    <row r="68">
      <c r="A68" s="8" t="inlineStr">
        <is>
          <t>S287</t>
        </is>
      </c>
      <c r="B68" s="8" t="inlineStr">
        <is>
          <t>implicit cause</t>
        </is>
      </c>
      <c r="C68" s="8" t="inlineStr">
        <is>
          <t>I cried a little in the shower and i dont even know what it was about. The ceiling had a small crack near the corner and i traced it with my eyes again and again.</t>
        </is>
      </c>
      <c r="D68" s="8" t="inlineStr">
        <is>
          <t>I cried a little in the shower</t>
        </is>
      </c>
      <c r="E68" s="8" t="inlineStr">
        <is>
          <t>sadness</t>
        </is>
      </c>
      <c r="F68" s="8" t="inlineStr">
        <is>
          <t>(implicit)</t>
        </is>
      </c>
      <c r="G68" s="8" t="inlineStr">
        <is>
          <t>(no overlapping prediction)</t>
        </is>
      </c>
      <c r="H68" s="10" t="inlineStr">
        <is>
          <t>model error</t>
        </is>
      </c>
      <c r="I68" s="10" t="inlineStr">
        <is>
          <t>Implicit sadness; model found nothing</t>
        </is>
      </c>
      <c r="J68" s="11" t="n"/>
      <c r="K68" s="11" t="n"/>
    </row>
    <row r="69">
      <c r="A69" s="8" t="inlineStr">
        <is>
          <t>S289</t>
        </is>
      </c>
      <c r="B69" s="8" t="inlineStr">
        <is>
          <t>implicit cause</t>
        </is>
      </c>
      <c r="C69" s="8" t="inlineStr">
        <is>
          <t>kinda surprised at how calm i am today. i expected to be a mess and i am not. idk why.</t>
        </is>
      </c>
      <c r="D69" s="8" t="inlineStr">
        <is>
          <t>kinda surprised at how calm i am today</t>
        </is>
      </c>
      <c r="E69" s="8" t="inlineStr">
        <is>
          <t>surprise</t>
        </is>
      </c>
      <c r="F69" s="8" t="inlineStr">
        <is>
          <t>(implicit)</t>
        </is>
      </c>
      <c r="G69" s="8" t="inlineStr">
        <is>
          <t>kind [surprise]</t>
        </is>
      </c>
      <c r="H69" s="10" t="inlineStr">
        <is>
          <t>model error</t>
        </is>
      </c>
      <c r="I69" s="10" t="inlineStr">
        <is>
          <t>Model kept only 'kind'</t>
        </is>
      </c>
      <c r="J69" s="11" t="n"/>
      <c r="K69" s="11" t="n"/>
    </row>
    <row r="70">
      <c r="A70" s="8" t="inlineStr">
        <is>
          <t>S291</t>
        </is>
      </c>
      <c r="B70" s="8" t="inlineStr">
        <is>
          <t>implicit cause</t>
        </is>
      </c>
      <c r="C70" s="8" t="inlineStr">
        <is>
          <t>Walked around the lake twice. The mind was just blank and happy. I had nothing to think about and it felt nice. Everyone in the hostel was playing something loud in their rooms. I put my headphones on and took them off ten times.</t>
        </is>
      </c>
      <c r="D70" s="8" t="inlineStr">
        <is>
          <t>The mind was just blank and happy</t>
        </is>
      </c>
      <c r="E70" s="8" t="inlineStr">
        <is>
          <t>joy</t>
        </is>
      </c>
      <c r="F70" s="8" t="inlineStr">
        <is>
          <t>(implicit)</t>
        </is>
      </c>
      <c r="G70" s="8" t="inlineStr">
        <is>
          <t>(no overlapping prediction)</t>
        </is>
      </c>
      <c r="H70" s="10" t="inlineStr">
        <is>
          <t>model error</t>
        </is>
      </c>
      <c r="I70" s="10" t="inlineStr">
        <is>
          <t>Implicit joy; model found nothing</t>
        </is>
      </c>
      <c r="J70" s="11" t="n"/>
      <c r="K70" s="11" t="n"/>
    </row>
    <row r="71">
      <c r="A71" s="8" t="inlineStr">
        <is>
          <t>S293</t>
        </is>
      </c>
      <c r="B71" s="8" t="inlineStr">
        <is>
          <t>implicit cause</t>
        </is>
      </c>
      <c r="C71" s="8" t="inlineStr">
        <is>
          <t>I felt a wave of pride seeing my reflection in the shop window, which is weird. nothing special about the day. The bag was lying near the door and my shoes were still on. I did not move for a long time.</t>
        </is>
      </c>
      <c r="D71" s="8" t="inlineStr">
        <is>
          <t>I felt a wave of pride seeing my reflection in the shop window</t>
        </is>
      </c>
      <c r="E71" s="8" t="inlineStr">
        <is>
          <t>pride</t>
        </is>
      </c>
      <c r="F71" s="8" t="inlineStr">
        <is>
          <t>(implicit)</t>
        </is>
      </c>
      <c r="G71" s="8" t="inlineStr">
        <is>
          <t>felt a wave of pride [pride]</t>
        </is>
      </c>
      <c r="H71" s="10" t="inlineStr">
        <is>
          <t>gold boundary off</t>
        </is>
      </c>
      <c r="I71" s="10" t="inlineStr">
        <is>
          <t>Gold includes the context ('seeing my reflection in the shop window')</t>
        </is>
      </c>
      <c r="J71" s="11" t="n"/>
      <c r="K71" s="11" t="n"/>
    </row>
    <row r="72">
      <c r="A72" s="8" t="inlineStr">
        <is>
          <t>S295</t>
        </is>
      </c>
      <c r="B72" s="8" t="inlineStr">
        <is>
          <t>implicit cause</t>
        </is>
      </c>
      <c r="C72" s="8" t="inlineStr">
        <is>
          <t>so jumpy today, every notification makes me flinch. no clue why. I made a sandwich and ate half of it standing near the window. The sky had a few thin clouds.</t>
        </is>
      </c>
      <c r="D72" s="8" t="inlineStr">
        <is>
          <t>so jumpy today</t>
        </is>
      </c>
      <c r="E72" s="8" t="inlineStr">
        <is>
          <t>fear</t>
        </is>
      </c>
      <c r="F72" s="8" t="inlineStr">
        <is>
          <t>(implicit)</t>
        </is>
      </c>
      <c r="G72" s="8" t="inlineStr">
        <is>
          <t>(no overlapping prediction)</t>
        </is>
      </c>
      <c r="H72" s="10" t="inlineStr">
        <is>
          <t>model error</t>
        </is>
      </c>
      <c r="I72" s="10" t="inlineStr">
        <is>
          <t>Implicit fear; model found nothing</t>
        </is>
      </c>
      <c r="J72" s="11" t="n"/>
      <c r="K72" s="11" t="n"/>
    </row>
    <row r="73">
      <c r="A73" s="8" t="inlineStr">
        <is>
          <t>S297</t>
        </is>
      </c>
      <c r="B73" s="8" t="inlineStr">
        <is>
          <t>implicit cause</t>
        </is>
      </c>
      <c r="C73" s="8" t="inlineStr">
        <is>
          <t>lying on the floor with the fan on and i feel completely fine. no reason, just fine. The rooftop was empty and the lights from the next building were blinking. I leaned on the railing.</t>
        </is>
      </c>
      <c r="D73" s="8" t="inlineStr">
        <is>
          <t>i feel completely fine</t>
        </is>
      </c>
      <c r="E73" s="8" t="inlineStr">
        <is>
          <t>contentment</t>
        </is>
      </c>
      <c r="F73" s="8" t="inlineStr">
        <is>
          <t>(implicit)</t>
        </is>
      </c>
      <c r="G73" s="8" t="inlineStr">
        <is>
          <t>completely [contentment]</t>
        </is>
      </c>
      <c r="H73" s="10" t="inlineStr">
        <is>
          <t>model error</t>
        </is>
      </c>
      <c r="I73" s="10" t="inlineStr">
        <is>
          <t>Model kept only 'completely'</t>
        </is>
      </c>
      <c r="J73" s="11" t="n"/>
      <c r="K73" s="11" t="n"/>
    </row>
    <row r="74">
      <c r="A74" s="8" t="inlineStr">
        <is>
          <t>S300</t>
        </is>
      </c>
      <c r="B74" s="8" t="inlineStr">
        <is>
          <t>two emotions, two causes</t>
        </is>
      </c>
      <c r="C74" s="8" t="inlineStr">
        <is>
          <t>Our flight to Jaipur got upgraded to business class for no reason and I was so surprised I kept looking at the boarding pass. Then at the gate I realised my laptop charger was in the checked bag and the presentation was in two hours, and I got really stressed. The gate area was crowded and my seat was in the third row. A man next to me kept asking about the baggage rules. I opened the laptop bag and found only the cables and a notebook, and i went through every pocket twice.</t>
        </is>
      </c>
      <c r="D74" s="8" t="inlineStr">
        <is>
          <t>I was so surprised</t>
        </is>
      </c>
      <c r="E74" s="8" t="inlineStr">
        <is>
          <t>surprise</t>
        </is>
      </c>
      <c r="F74" s="8" t="inlineStr">
        <is>
          <t>Our flight to Jaipur got upgraded to business class for no reason</t>
        </is>
      </c>
      <c r="G74" s="8" t="inlineStr">
        <is>
          <t>I was so surprised I kept looking at the boarding pass [surprise]</t>
        </is>
      </c>
      <c r="H74" s="10" t="inlineStr">
        <is>
          <t>model error</t>
        </is>
      </c>
      <c r="I74" s="10" t="inlineStr">
        <is>
          <t>Model's span ran into the action that followed</t>
        </is>
      </c>
      <c r="J74" s="11" t="n"/>
      <c r="K74" s="11" t="n"/>
    </row>
    <row r="75">
      <c r="A75" s="8" t="inlineStr">
        <is>
          <t>S301</t>
        </is>
      </c>
      <c r="B75" s="8" t="inlineStr">
        <is>
          <t>two emotions, two causes</t>
        </is>
      </c>
      <c r="C75" s="8" t="inlineStr">
        <is>
          <t>Aarti covered for me at the front desk when i was late and nobody noticed. I was so grateful i bought her coffee. But then i realised i had told her a lie about why i was late and i could not shake the guilty feeling for the rest of the day. I wrote down the real reason on a sticky note and then tore it into small pieces. The coffee she liked was from the machine near the stairs and i had to try twice for the right change. She said thanks and went back to her screen.</t>
        </is>
      </c>
      <c r="D75" s="8" t="inlineStr">
        <is>
          <t>I was so grateful</t>
        </is>
      </c>
      <c r="E75" s="8" t="inlineStr">
        <is>
          <t>gratitude</t>
        </is>
      </c>
      <c r="F75" s="8" t="inlineStr">
        <is>
          <t>Aarti covered for me at the front desk when i was late and nobody noticed</t>
        </is>
      </c>
      <c r="G75" s="8" t="inlineStr">
        <is>
          <t>I was so grateful i bought her coffee [gratitude]</t>
        </is>
      </c>
      <c r="H75" s="10" t="inlineStr">
        <is>
          <t>model error</t>
        </is>
      </c>
      <c r="I75" s="10" t="inlineStr">
        <is>
          <t>Model's span ran into the action that followed</t>
        </is>
      </c>
      <c r="J75" s="11" t="n"/>
      <c r="K75" s="11" t="n"/>
    </row>
    <row r="76">
      <c r="A76" s="8" t="inlineStr">
        <is>
          <t>S305</t>
        </is>
      </c>
      <c r="B76" s="8" t="inlineStr">
        <is>
          <t>two emotions, two causes</t>
        </is>
      </c>
      <c r="C76" s="8" t="inlineStr">
        <is>
          <t>I yelled at Kunal for using my charger without asking and he looked really hurt. i felt terrible the whole evening. Later he came with two cups of tea and we sat quietly on the stairs, and everything felt okay again.</t>
        </is>
      </c>
      <c r="D76" s="8" t="inlineStr">
        <is>
          <t>everything felt okay again</t>
        </is>
      </c>
      <c r="E76" s="8" t="inlineStr">
        <is>
          <t>contentment</t>
        </is>
      </c>
      <c r="F76" s="8" t="inlineStr">
        <is>
          <t>he came with two cups of tea and we sat quietly on the stairs</t>
        </is>
      </c>
      <c r="G76" s="8" t="inlineStr">
        <is>
          <t>(no overlapping prediction)</t>
        </is>
      </c>
      <c r="H76" s="10" t="inlineStr">
        <is>
          <t>model error</t>
        </is>
      </c>
      <c r="I76" s="10" t="inlineStr">
        <is>
          <t>Clear contentment clause; model found nothing</t>
        </is>
      </c>
      <c r="J76" s="11" t="n"/>
      <c r="K76" s="11" t="n"/>
    </row>
    <row r="77">
      <c r="A77" s="8" t="inlineStr">
        <is>
          <t>S309</t>
        </is>
      </c>
      <c r="B77" s="8" t="inlineStr">
        <is>
          <t>two emotions, two causes</t>
        </is>
      </c>
      <c r="C77" s="8" t="inlineStr">
        <is>
          <t>We went for our first trip together to Udaipur and i was so happy walking beside the lake with her. Midway i realised i had told my friends i was too busy to attend Sagar's engagement, and i felt bad for lying. The boat ride was short but the sky had turned pink and gold over the water. We walked past a small market selling mirror-work bags and she bought one as a gift. I took a photo of her laughing next to a lamp and set it as my wallpaper.</t>
        </is>
      </c>
      <c r="D77" s="8" t="inlineStr">
        <is>
          <t>i was so happy walking beside the lake with her</t>
        </is>
      </c>
      <c r="E77" s="8" t="inlineStr">
        <is>
          <t>joy</t>
        </is>
      </c>
      <c r="F77" s="8" t="inlineStr">
        <is>
          <t>We went for our first trip together to Udaipur</t>
        </is>
      </c>
      <c r="G77" s="8" t="inlineStr">
        <is>
          <t>i was so happy [joy]</t>
        </is>
      </c>
      <c r="H77" s="10" t="inlineStr">
        <is>
          <t>gold boundary off</t>
        </is>
      </c>
      <c r="I77" s="10" t="inlineStr">
        <is>
          <t>Gold includes the context ('walking beside the lake with her')</t>
        </is>
      </c>
      <c r="J77" s="11" t="n"/>
      <c r="K77" s="11" t="n"/>
    </row>
    <row r="78">
      <c r="A78" s="8" t="inlineStr">
        <is>
          <t>S313</t>
        </is>
      </c>
      <c r="B78" s="8" t="inlineStr">
        <is>
          <t>two emotions, two causes</t>
        </is>
      </c>
      <c r="C78" s="8" t="inlineStr">
        <is>
          <t>Mira wrote me a three page letter on my last day at the PG saying how my random cooking nights made her stay sane. I read it on the train and was so touched i could not stop smiling. Then the train crossed the city limits and i realised how far i had come from all of them, the sadness hit slowly. The letter was written in blue ink on ruled pages, with a small drawing of a pressure cooker at the end. The train was full and i held it in both hands so it would not crease.</t>
        </is>
      </c>
      <c r="D78" s="8" t="inlineStr">
        <is>
          <t>the sadness hit slowly</t>
        </is>
      </c>
      <c r="E78" s="8" t="inlineStr">
        <is>
          <t>sadness</t>
        </is>
      </c>
      <c r="F78" s="8" t="inlineStr">
        <is>
          <t>the train crossed the city limits and i realised how far i had come from all of them</t>
        </is>
      </c>
      <c r="G78" s="8" t="inlineStr">
        <is>
          <t>sadness [sadness]</t>
        </is>
      </c>
      <c r="H78" s="10" t="inlineStr">
        <is>
          <t>model error</t>
        </is>
      </c>
      <c r="I78" s="10" t="inlineStr">
        <is>
          <t>Model kept only 'sadness'</t>
        </is>
      </c>
      <c r="J78" s="11" t="n"/>
      <c r="K78" s="11" t="n"/>
    </row>
    <row r="79">
      <c r="A79" s="8" t="inlineStr">
        <is>
          <t>S319</t>
        </is>
      </c>
      <c r="B79" s="8" t="inlineStr">
        <is>
          <t>two emotions, two causes</t>
        </is>
      </c>
      <c r="C79" s="8" t="inlineStr">
        <is>
          <t>We had the breakup talk in the park and it was calm, which made it somehow worse. I walked home with my headphones on and felt completely empty. By night i made khichdi, opened the window and felt oddly at peace for the first time in a month. The park had a few joggers and a couple of old men on a bench. We talked without raising our voices, and when it ended we both said take care and walked in opposite directions.</t>
        </is>
      </c>
      <c r="D79" s="8" t="inlineStr">
        <is>
          <t>oddly at peace</t>
        </is>
      </c>
      <c r="E79" s="8" t="inlineStr">
        <is>
          <t>contentment</t>
        </is>
      </c>
      <c r="F79" s="8" t="inlineStr">
        <is>
          <t>i made khichdi, opened the window</t>
        </is>
      </c>
      <c r="G79" s="8" t="inlineStr">
        <is>
          <t>felt oddly at peace for the first time in a month [contentment]</t>
        </is>
      </c>
      <c r="H79" s="10" t="inlineStr">
        <is>
          <t>model error</t>
        </is>
      </c>
      <c r="I79" s="10" t="inlineStr">
        <is>
          <t>Model's span ran on ('for the first time in a month')</t>
        </is>
      </c>
      <c r="J79" s="11" t="n"/>
      <c r="K79" s="11" t="n"/>
    </row>
    <row r="80">
      <c r="A80" s="8" t="inlineStr">
        <is>
          <t>S324</t>
        </is>
      </c>
      <c r="B80" s="8" t="inlineStr">
        <is>
          <t>two emotions, two causes</t>
        </is>
      </c>
      <c r="C80" s="8" t="inlineStr">
        <is>
          <t>I completed my 30 day workout streak without missing a day and felt so proud i posted it on my story. A week later my knee gave up and the scan said no running for a month. I just stared at my shoes and felt miserable.</t>
        </is>
      </c>
      <c r="D80" s="8" t="inlineStr">
        <is>
          <t>felt so proud i posted it on my story</t>
        </is>
      </c>
      <c r="E80" s="8" t="inlineStr">
        <is>
          <t>pride</t>
        </is>
      </c>
      <c r="F80" s="8" t="inlineStr">
        <is>
          <t>I completed my 30 day workout streak without missing a day</t>
        </is>
      </c>
      <c r="G80" s="8" t="inlineStr">
        <is>
          <t>felt so proud [pride]</t>
        </is>
      </c>
      <c r="H80" s="10" t="inlineStr">
        <is>
          <t>gold boundary off</t>
        </is>
      </c>
      <c r="I80" s="10" t="inlineStr">
        <is>
          <t>Gold includes the action ('i posted it on my story')</t>
        </is>
      </c>
      <c r="J80" s="11" t="n"/>
      <c r="K80" s="11" t="n"/>
    </row>
    <row r="81">
      <c r="A81" s="8" t="inlineStr">
        <is>
          <t>S328</t>
        </is>
      </c>
      <c r="B81" s="8" t="inlineStr">
        <is>
          <t>two emotions, two causes</t>
        </is>
      </c>
      <c r="C81" s="8" t="inlineStr">
        <is>
          <t>I booked a solo trip to Manali, my first ever, and i have been jumping around the room since. Reading the weather updates about landslides made my heart sink though and i keep refreshing them, really worried.</t>
        </is>
      </c>
      <c r="D81" s="8" t="inlineStr">
        <is>
          <t>i have been jumping around the room since</t>
        </is>
      </c>
      <c r="E81" s="8" t="inlineStr">
        <is>
          <t>joy</t>
        </is>
      </c>
      <c r="F81" s="8" t="inlineStr">
        <is>
          <t>I booked a solo trip to Manali, my first ever</t>
        </is>
      </c>
      <c r="G81" s="8" t="inlineStr">
        <is>
          <t>jumping around the [joy]</t>
        </is>
      </c>
      <c r="H81" s="10" t="inlineStr">
        <is>
          <t>model error</t>
        </is>
      </c>
      <c r="I81" s="10" t="inlineStr">
        <is>
          <t>Model kept a fragment</t>
        </is>
      </c>
      <c r="J81" s="11" t="n"/>
      <c r="K81" s="11" t="n"/>
    </row>
    <row r="82">
      <c r="A82" s="8" t="inlineStr">
        <is>
          <t>S330</t>
        </is>
      </c>
      <c r="B82" s="8" t="inlineStr">
        <is>
          <t>one cause, two emotions</t>
        </is>
      </c>
      <c r="C82" s="8" t="inlineStr">
        <is>
          <t>i got the offer from Amazon but the joining is in Hyderabad. excited about the money and sad about leaving everyone. The mail has a pdf with all the details and a long list of documents to carry.</t>
        </is>
      </c>
      <c r="D82" s="8" t="inlineStr">
        <is>
          <t>sad about leaving everyone</t>
        </is>
      </c>
      <c r="E82" s="8" t="inlineStr">
        <is>
          <t>sadness</t>
        </is>
      </c>
      <c r="F82" s="8" t="inlineStr">
        <is>
          <t>i got the offer from Amazon but the joining is in Hyderabad</t>
        </is>
      </c>
      <c r="G82" s="8" t="inlineStr">
        <is>
          <t>sad [sadness]</t>
        </is>
      </c>
      <c r="H82" s="10" t="inlineStr">
        <is>
          <t>gold boundary off</t>
        </is>
      </c>
      <c r="I82" s="10" t="inlineStr">
        <is>
          <t>Gold includes the cause ('about leaving everyone')</t>
        </is>
      </c>
      <c r="J82" s="11" t="n"/>
      <c r="K82" s="11" t="n"/>
    </row>
    <row r="83">
      <c r="A83" s="8" t="inlineStr">
        <is>
          <t>S331</t>
        </is>
      </c>
      <c r="B83" s="8" t="inlineStr">
        <is>
          <t>one cause, two emotions</t>
        </is>
      </c>
      <c r="C83" s="8" t="inlineStr">
        <is>
          <t>Khushi told me she is pregnant and i am overjoyed for her but also a bit scared about how fast everyone is moving ahead. She showed me the scan on her phone and we both stared at it for a while.</t>
        </is>
      </c>
      <c r="D83" s="8" t="inlineStr">
        <is>
          <t>a bit scared about how fast everyone is moving ahead</t>
        </is>
      </c>
      <c r="E83" s="8" t="inlineStr">
        <is>
          <t>fear</t>
        </is>
      </c>
      <c r="F83" s="8" t="inlineStr">
        <is>
          <t>Khushi told me she is pregnant</t>
        </is>
      </c>
      <c r="G83" s="8" t="inlineStr">
        <is>
          <t>bit scared [surprise]</t>
        </is>
      </c>
      <c r="H83" s="10" t="inlineStr">
        <is>
          <t>gold boundary off</t>
        </is>
      </c>
      <c r="I83" s="10" t="inlineStr">
        <is>
          <t>Gold includes the cause ('about how fast everyone is moving ahead')</t>
        </is>
      </c>
      <c r="J83" s="11" t="n"/>
      <c r="K83" s="11" t="n"/>
    </row>
    <row r="84">
      <c r="A84" s="8" t="inlineStr">
        <is>
          <t>S332</t>
        </is>
      </c>
      <c r="B84" s="8" t="inlineStr">
        <is>
          <t>one cause, two emotions</t>
        </is>
      </c>
      <c r="C84" s="8" t="inlineStr">
        <is>
          <t>the trek to Kedarkantha was done in five days. i felt proud and also strangely empty on the last evening. It was a steep climb on the last day and the whole camp packed up by noon.</t>
        </is>
      </c>
      <c r="D84" s="8" t="inlineStr">
        <is>
          <t>strangely empty on the last evening</t>
        </is>
      </c>
      <c r="E84" s="8" t="inlineStr">
        <is>
          <t>sadness</t>
        </is>
      </c>
      <c r="F84" s="8" t="inlineStr">
        <is>
          <t>the trek to Kedarkantha was done in five days</t>
        </is>
      </c>
      <c r="G84" s="8" t="inlineStr">
        <is>
          <t>empty [sadness]</t>
        </is>
      </c>
      <c r="H84" s="10" t="inlineStr">
        <is>
          <t>model error</t>
        </is>
      </c>
      <c r="I84" s="10" t="inlineStr">
        <is>
          <t>Model kept only 'empty'</t>
        </is>
      </c>
      <c r="J84" s="11" t="n"/>
      <c r="K84" s="11" t="n"/>
    </row>
    <row r="85">
      <c r="A85" s="8" t="inlineStr">
        <is>
          <t>S334</t>
        </is>
      </c>
      <c r="B85" s="8" t="inlineStr">
        <is>
          <t>one cause, two emotions</t>
        </is>
      </c>
      <c r="C85" s="8" t="inlineStr">
        <is>
          <t>the rain stopped just as the match began. everyone cheered and i felt thrilled and relieved at once.</t>
        </is>
      </c>
      <c r="D85" s="8" t="inlineStr">
        <is>
          <t>i felt thrilled</t>
        </is>
      </c>
      <c r="E85" s="8" t="inlineStr">
        <is>
          <t>joy</t>
        </is>
      </c>
      <c r="F85" s="8" t="inlineStr">
        <is>
          <t>the rain stopped just as the match began</t>
        </is>
      </c>
      <c r="G85" s="8" t="inlineStr">
        <is>
          <t>i felt thrilled and relieved at once [joy]</t>
        </is>
      </c>
      <c r="H85" s="10" t="inlineStr">
        <is>
          <t>model error</t>
        </is>
      </c>
      <c r="I85" s="10" t="inlineStr">
        <is>
          <t>Model merged thrilled and relieved into one span</t>
        </is>
      </c>
      <c r="J85" s="11" t="n"/>
      <c r="K85" s="11" t="n"/>
    </row>
    <row r="86">
      <c r="A86" s="8" t="inlineStr">
        <is>
          <t>S334</t>
        </is>
      </c>
      <c r="B86" s="8" t="inlineStr">
        <is>
          <t>one cause, two emotions</t>
        </is>
      </c>
      <c r="C86" s="8" t="inlineStr">
        <is>
          <t>the rain stopped just as the match began. everyone cheered and i felt thrilled and relieved at once.</t>
        </is>
      </c>
      <c r="D86" s="8" t="inlineStr">
        <is>
          <t>relieved at once</t>
        </is>
      </c>
      <c r="E86" s="8" t="inlineStr">
        <is>
          <t>contentment</t>
        </is>
      </c>
      <c r="F86" s="8" t="inlineStr">
        <is>
          <t>the rain stopped just as the match began</t>
        </is>
      </c>
      <c r="G86" s="8" t="inlineStr">
        <is>
          <t>i felt thrilled and relieved at once [joy]</t>
        </is>
      </c>
      <c r="H86" s="10" t="inlineStr">
        <is>
          <t>model error</t>
        </is>
      </c>
      <c r="I86" s="10" t="inlineStr">
        <is>
          <t>Model merged thrilled and relieved into one span</t>
        </is>
      </c>
      <c r="J86" s="11" t="n"/>
      <c r="K86" s="11" t="n"/>
    </row>
    <row r="87">
      <c r="A87" s="8" t="inlineStr">
        <is>
          <t>S335</t>
        </is>
      </c>
      <c r="B87" s="8" t="inlineStr">
        <is>
          <t>one cause, two emotions</t>
        </is>
      </c>
      <c r="C87" s="8" t="inlineStr">
        <is>
          <t>Gauri forgot my birthday completely and i am hurt and angry. Twenty years of friendship and not even a text. Twenty years is a long time and i checked my phone twice anyway.</t>
        </is>
      </c>
      <c r="D87" s="8" t="inlineStr">
        <is>
          <t>hurt</t>
        </is>
      </c>
      <c r="E87" s="8" t="inlineStr">
        <is>
          <t>sadness</t>
        </is>
      </c>
      <c r="F87" s="8" t="inlineStr">
        <is>
          <t>Gauri forgot my birthday completely</t>
        </is>
      </c>
      <c r="G87" s="8" t="inlineStr">
        <is>
          <t>i am hurt and angry [anger]</t>
        </is>
      </c>
      <c r="H87" s="10" t="inlineStr">
        <is>
          <t>model error</t>
        </is>
      </c>
      <c r="I87" s="10" t="inlineStr">
        <is>
          <t>Model merged hurt and angry into one span</t>
        </is>
      </c>
      <c r="J87" s="11" t="n"/>
      <c r="K87" s="11" t="n"/>
    </row>
    <row r="88">
      <c r="A88" s="8" t="inlineStr">
        <is>
          <t>S335</t>
        </is>
      </c>
      <c r="B88" s="8" t="inlineStr">
        <is>
          <t>one cause, two emotions</t>
        </is>
      </c>
      <c r="C88" s="8" t="inlineStr">
        <is>
          <t>Gauri forgot my birthday completely and i am hurt and angry. Twenty years of friendship and not even a text. Twenty years is a long time and i checked my phone twice anyway.</t>
        </is>
      </c>
      <c r="D88" s="8" t="inlineStr">
        <is>
          <t>angry</t>
        </is>
      </c>
      <c r="E88" s="8" t="inlineStr">
        <is>
          <t>anger</t>
        </is>
      </c>
      <c r="F88" s="8" t="inlineStr">
        <is>
          <t>Gauri forgot my birthday completely</t>
        </is>
      </c>
      <c r="G88" s="8" t="inlineStr">
        <is>
          <t>i am hurt and angry [anger]</t>
        </is>
      </c>
      <c r="H88" s="10" t="inlineStr">
        <is>
          <t>model error</t>
        </is>
      </c>
      <c r="I88" s="10" t="inlineStr">
        <is>
          <t>Model merged hurt and angry into one span</t>
        </is>
      </c>
      <c r="J88" s="11" t="n"/>
      <c r="K88" s="11" t="n"/>
    </row>
    <row r="89">
      <c r="A89" s="8" t="inlineStr">
        <is>
          <t>S336</t>
        </is>
      </c>
      <c r="B89" s="8" t="inlineStr">
        <is>
          <t>one cause, two emotions</t>
        </is>
      </c>
      <c r="C89" s="8" t="inlineStr">
        <is>
          <t>the lab results came back clean and i am so relieved yet exhausted from all the worrying i did for nothing.</t>
        </is>
      </c>
      <c r="D89" s="8" t="inlineStr">
        <is>
          <t>exhausted from all the worrying i did for nothing</t>
        </is>
      </c>
      <c r="E89" s="8" t="inlineStr">
        <is>
          <t>stress</t>
        </is>
      </c>
      <c r="F89" s="8" t="inlineStr">
        <is>
          <t>the lab results came back clean</t>
        </is>
      </c>
      <c r="G89" s="8" t="inlineStr">
        <is>
          <t>(no overlapping prediction)</t>
        </is>
      </c>
      <c r="H89" s="10" t="inlineStr">
        <is>
          <t>gold label wrong</t>
        </is>
      </c>
      <c r="I89" s="10" t="inlineStr">
        <is>
          <t>Cause looks wrong: exhaustion comes from the worrying, not from the clean results</t>
        </is>
      </c>
      <c r="J89" s="11" t="n"/>
      <c r="K89" s="11" t="n"/>
    </row>
    <row r="90">
      <c r="A90" s="8" t="inlineStr">
        <is>
          <t>S339</t>
        </is>
      </c>
      <c r="B90" s="8" t="inlineStr">
        <is>
          <t>emotion only</t>
        </is>
      </c>
      <c r="C90" s="8" t="inlineStr">
        <is>
          <t>honestly overwhelmed right now.</t>
        </is>
      </c>
      <c r="D90" s="8" t="inlineStr">
        <is>
          <t>honestly overwhelmed right now</t>
        </is>
      </c>
      <c r="E90" s="8" t="inlineStr">
        <is>
          <t>stress</t>
        </is>
      </c>
      <c r="F90" s="8" t="inlineStr">
        <is>
          <t>(none)</t>
        </is>
      </c>
      <c r="G90" s="8" t="inlineStr">
        <is>
          <t>overwhelmed [sadness]</t>
        </is>
      </c>
      <c r="H90" s="10" t="inlineStr">
        <is>
          <t>model error</t>
        </is>
      </c>
      <c r="I90" s="10" t="inlineStr">
        <is>
          <t>Model kept only 'overwhelmed' and called it sadness</t>
        </is>
      </c>
      <c r="J90" s="11" t="n"/>
      <c r="K90" s="11" t="n"/>
    </row>
  </sheetData>
  <autoFilter ref="A1:K90"/>
  <dataValidations count="1">
    <dataValidation sqref="J2:J90" showDropDown="0" showInputMessage="0" showErrorMessage="0" allowBlank="1" type="list">
      <formula1>"model error,gold label wrong,gold boundary off,unsure"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2026-10-09T18:38:13Z</dcterms:created>
  <dcterms:modified xsi:type="dcterms:W3CDTF">2026-10-09T18:38:13Z</dcterms:modified>
</cp:coreProperties>
</file>